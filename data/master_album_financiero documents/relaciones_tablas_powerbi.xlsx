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75c4be90030061/Documents/Educacion/Data Analysis/Capstones Project/Personal Capstone project/Fase 2/"/>
    </mc:Choice>
  </mc:AlternateContent>
  <xr:revisionPtr revIDLastSave="55" documentId="13_ncr:1_{29F9641B-071A-4420-A128-66AFC83995C3}" xr6:coauthVersionLast="47" xr6:coauthVersionMax="47" xr10:uidLastSave="{79F710A3-AE83-406C-B76D-5EB515EA73E0}"/>
  <bookViews>
    <workbookView xWindow="32280" yWindow="-120" windowWidth="20640" windowHeight="11040" firstSheet="1" activeTab="4" xr2:uid="{D24DA230-0376-4106-B499-B4466B20F30F}"/>
  </bookViews>
  <sheets>
    <sheet name="tables" sheetId="1" r:id="rId1"/>
    <sheet name="columns" sheetId="2" r:id="rId2"/>
    <sheet name="relationships" sheetId="3" r:id="rId3"/>
    <sheet name="final_formulado" sheetId="4" r:id="rId4"/>
    <sheet name="Hoja7" sheetId="7" r:id="rId5"/>
  </sheets>
  <definedNames>
    <definedName name="_xlnm._FilterDatabase" localSheetId="3" hidden="1">final_formulado!$A$1:$G$30</definedName>
    <definedName name="_xlnm._FilterDatabase" localSheetId="4" hidden="1">Hoja7!$A$1:$H$41</definedName>
    <definedName name="_xlnm._FilterDatabase" localSheetId="2" hidden="1">relationships!$A$1:$AB$43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7" l="1"/>
  <c r="H40" i="7"/>
  <c r="H39" i="7"/>
  <c r="H38" i="7"/>
  <c r="H37" i="7"/>
  <c r="H36" i="7"/>
  <c r="H35" i="7"/>
  <c r="H34" i="7"/>
  <c r="H33" i="7"/>
  <c r="H32" i="7"/>
  <c r="H31" i="7"/>
  <c r="H30" i="7"/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2" i="7"/>
  <c r="A14" i="4"/>
  <c r="A24" i="4"/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F1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2" i="3"/>
  <c r="C1" i="4"/>
  <c r="V3" i="3"/>
  <c r="C3" i="4" s="1"/>
  <c r="V11" i="3"/>
  <c r="C11" i="4" s="1"/>
  <c r="V19" i="3"/>
  <c r="C18" i="4" s="1"/>
  <c r="V27" i="3"/>
  <c r="C26" i="4" s="1"/>
  <c r="V35" i="3"/>
  <c r="V43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2" i="3"/>
  <c r="O3" i="3"/>
  <c r="O4" i="3"/>
  <c r="V4" i="3" s="1"/>
  <c r="C4" i="4" s="1"/>
  <c r="O5" i="3"/>
  <c r="V5" i="3" s="1"/>
  <c r="C5" i="4" s="1"/>
  <c r="O6" i="3"/>
  <c r="V6" i="3" s="1"/>
  <c r="C6" i="4" s="1"/>
  <c r="O7" i="3"/>
  <c r="V7" i="3" s="1"/>
  <c r="C7" i="4" s="1"/>
  <c r="O8" i="3"/>
  <c r="V8" i="3" s="1"/>
  <c r="C8" i="4" s="1"/>
  <c r="O9" i="3"/>
  <c r="V9" i="3" s="1"/>
  <c r="C9" i="4" s="1"/>
  <c r="O10" i="3"/>
  <c r="V10" i="3" s="1"/>
  <c r="C10" i="4" s="1"/>
  <c r="O11" i="3"/>
  <c r="O12" i="3"/>
  <c r="V12" i="3" s="1"/>
  <c r="C12" i="4" s="1"/>
  <c r="O13" i="3"/>
  <c r="V13" i="3" s="1"/>
  <c r="C13" i="4" s="1"/>
  <c r="O14" i="3"/>
  <c r="V14" i="3" s="1"/>
  <c r="O15" i="3"/>
  <c r="V15" i="3" s="1"/>
  <c r="C14" i="4" s="1"/>
  <c r="O16" i="3"/>
  <c r="V16" i="3" s="1"/>
  <c r="C15" i="4" s="1"/>
  <c r="O17" i="3"/>
  <c r="V17" i="3" s="1"/>
  <c r="C16" i="4" s="1"/>
  <c r="O18" i="3"/>
  <c r="V18" i="3" s="1"/>
  <c r="C17" i="4" s="1"/>
  <c r="O19" i="3"/>
  <c r="O20" i="3"/>
  <c r="V20" i="3" s="1"/>
  <c r="C19" i="4" s="1"/>
  <c r="O21" i="3"/>
  <c r="V21" i="3" s="1"/>
  <c r="C20" i="4" s="1"/>
  <c r="O22" i="3"/>
  <c r="V22" i="3" s="1"/>
  <c r="C21" i="4" s="1"/>
  <c r="O23" i="3"/>
  <c r="V23" i="3" s="1"/>
  <c r="C22" i="4" s="1"/>
  <c r="O24" i="3"/>
  <c r="V24" i="3" s="1"/>
  <c r="C23" i="4" s="1"/>
  <c r="O25" i="3"/>
  <c r="V25" i="3" s="1"/>
  <c r="C24" i="4" s="1"/>
  <c r="O26" i="3"/>
  <c r="V26" i="3" s="1"/>
  <c r="C25" i="4" s="1"/>
  <c r="O27" i="3"/>
  <c r="O28" i="3"/>
  <c r="V28" i="3" s="1"/>
  <c r="C27" i="4" s="1"/>
  <c r="O29" i="3"/>
  <c r="V29" i="3" s="1"/>
  <c r="C28" i="4" s="1"/>
  <c r="O30" i="3"/>
  <c r="V30" i="3" s="1"/>
  <c r="C29" i="4" s="1"/>
  <c r="O31" i="3"/>
  <c r="V31" i="3" s="1"/>
  <c r="C30" i="4" s="1"/>
  <c r="O32" i="3"/>
  <c r="V32" i="3" s="1"/>
  <c r="O33" i="3"/>
  <c r="V33" i="3" s="1"/>
  <c r="O34" i="3"/>
  <c r="V34" i="3" s="1"/>
  <c r="O35" i="3"/>
  <c r="O36" i="3"/>
  <c r="V36" i="3" s="1"/>
  <c r="O37" i="3"/>
  <c r="V37" i="3" s="1"/>
  <c r="O38" i="3"/>
  <c r="V38" i="3" s="1"/>
  <c r="O39" i="3"/>
  <c r="V39" i="3" s="1"/>
  <c r="O40" i="3"/>
  <c r="V40" i="3" s="1"/>
  <c r="O41" i="3"/>
  <c r="V41" i="3" s="1"/>
  <c r="O42" i="3"/>
  <c r="V42" i="3" s="1"/>
  <c r="O43" i="3"/>
  <c r="O2" i="3"/>
  <c r="V2" i="3" s="1"/>
  <c r="C2" i="4" s="1"/>
  <c r="B1" i="4"/>
  <c r="M10" i="3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1" i="4"/>
  <c r="E1" i="4"/>
  <c r="D1" i="4"/>
  <c r="A1" i="4"/>
  <c r="S3" i="3"/>
  <c r="S4" i="3"/>
  <c r="S5" i="3"/>
  <c r="S6" i="3"/>
  <c r="S7" i="3"/>
  <c r="S8" i="3"/>
  <c r="S9" i="3"/>
  <c r="S10" i="3"/>
  <c r="S11" i="3"/>
  <c r="S12" i="3"/>
  <c r="S13" i="3"/>
  <c r="S14" i="3"/>
  <c r="E2" i="4" s="1"/>
  <c r="S15" i="3"/>
  <c r="E3" i="4" s="1"/>
  <c r="S16" i="3"/>
  <c r="E4" i="4" s="1"/>
  <c r="S17" i="3"/>
  <c r="E5" i="4" s="1"/>
  <c r="S18" i="3"/>
  <c r="E6" i="4" s="1"/>
  <c r="S19" i="3"/>
  <c r="E7" i="4" s="1"/>
  <c r="S20" i="3"/>
  <c r="E8" i="4" s="1"/>
  <c r="S21" i="3"/>
  <c r="E9" i="4" s="1"/>
  <c r="S22" i="3"/>
  <c r="E10" i="4" s="1"/>
  <c r="S23" i="3"/>
  <c r="E11" i="4" s="1"/>
  <c r="S24" i="3"/>
  <c r="E12" i="4" s="1"/>
  <c r="S25" i="3"/>
  <c r="E13" i="4" s="1"/>
  <c r="S26" i="3"/>
  <c r="S27" i="3"/>
  <c r="E14" i="4" s="1"/>
  <c r="S28" i="3"/>
  <c r="E15" i="4" s="1"/>
  <c r="S29" i="3"/>
  <c r="E16" i="4" s="1"/>
  <c r="S30" i="3"/>
  <c r="E17" i="4" s="1"/>
  <c r="S31" i="3"/>
  <c r="E18" i="4" s="1"/>
  <c r="S32" i="3"/>
  <c r="E19" i="4" s="1"/>
  <c r="S33" i="3"/>
  <c r="E20" i="4" s="1"/>
  <c r="S34" i="3"/>
  <c r="E21" i="4" s="1"/>
  <c r="S35" i="3"/>
  <c r="E22" i="4" s="1"/>
  <c r="S36" i="3"/>
  <c r="E23" i="4" s="1"/>
  <c r="S37" i="3"/>
  <c r="E24" i="4" s="1"/>
  <c r="S38" i="3"/>
  <c r="E25" i="4" s="1"/>
  <c r="S39" i="3"/>
  <c r="E26" i="4" s="1"/>
  <c r="S40" i="3"/>
  <c r="E27" i="4" s="1"/>
  <c r="S41" i="3"/>
  <c r="E28" i="4" s="1"/>
  <c r="S42" i="3"/>
  <c r="E29" i="4" s="1"/>
  <c r="S43" i="3"/>
  <c r="E30" i="4" s="1"/>
  <c r="S2" i="3"/>
  <c r="M3" i="3"/>
  <c r="M4" i="3"/>
  <c r="M5" i="3"/>
  <c r="M6" i="3"/>
  <c r="M7" i="3"/>
  <c r="M8" i="3"/>
  <c r="M9" i="3"/>
  <c r="M14" i="3"/>
  <c r="B2" i="4" s="1"/>
  <c r="M15" i="3"/>
  <c r="B3" i="4" s="1"/>
  <c r="M16" i="3"/>
  <c r="B4" i="4" s="1"/>
  <c r="M17" i="3"/>
  <c r="B5" i="4" s="1"/>
  <c r="M18" i="3"/>
  <c r="B6" i="4" s="1"/>
  <c r="M19" i="3"/>
  <c r="B7" i="4" s="1"/>
  <c r="M20" i="3"/>
  <c r="B8" i="4" s="1"/>
  <c r="M21" i="3"/>
  <c r="B9" i="4" s="1"/>
  <c r="M22" i="3"/>
  <c r="B10" i="4" s="1"/>
  <c r="M23" i="3"/>
  <c r="B11" i="4" s="1"/>
  <c r="M24" i="3"/>
  <c r="B12" i="4" s="1"/>
  <c r="M25" i="3"/>
  <c r="B13" i="4" s="1"/>
  <c r="M26" i="3"/>
  <c r="M27" i="3"/>
  <c r="B14" i="4" s="1"/>
  <c r="M28" i="3"/>
  <c r="B15" i="4" s="1"/>
  <c r="M29" i="3"/>
  <c r="B16" i="4" s="1"/>
  <c r="M30" i="3"/>
  <c r="B17" i="4" s="1"/>
  <c r="M31" i="3"/>
  <c r="B18" i="4" s="1"/>
  <c r="M32" i="3"/>
  <c r="B19" i="4" s="1"/>
  <c r="M33" i="3"/>
  <c r="B20" i="4" s="1"/>
  <c r="M34" i="3"/>
  <c r="B21" i="4" s="1"/>
  <c r="M35" i="3"/>
  <c r="B22" i="4" s="1"/>
  <c r="M36" i="3"/>
  <c r="B23" i="4" s="1"/>
  <c r="M37" i="3"/>
  <c r="B24" i="4" s="1"/>
  <c r="M38" i="3"/>
  <c r="B25" i="4" s="1"/>
  <c r="M39" i="3"/>
  <c r="B26" i="4" s="1"/>
  <c r="M40" i="3"/>
  <c r="B27" i="4" s="1"/>
  <c r="M41" i="3"/>
  <c r="B28" i="4" s="1"/>
  <c r="M42" i="3"/>
  <c r="B29" i="4" s="1"/>
  <c r="M43" i="3"/>
  <c r="B30" i="4" s="1"/>
  <c r="M2" i="3"/>
  <c r="Q3" i="3"/>
  <c r="Q4" i="3"/>
  <c r="Q5" i="3"/>
  <c r="Q6" i="3"/>
  <c r="Q7" i="3"/>
  <c r="Q8" i="3"/>
  <c r="Q9" i="3"/>
  <c r="Q10" i="3"/>
  <c r="Q11" i="3"/>
  <c r="Q12" i="3"/>
  <c r="Q13" i="3"/>
  <c r="Q14" i="3"/>
  <c r="D2" i="4" s="1"/>
  <c r="Q15" i="3"/>
  <c r="D3" i="4" s="1"/>
  <c r="Q16" i="3"/>
  <c r="D4" i="4" s="1"/>
  <c r="Q17" i="3"/>
  <c r="D5" i="4" s="1"/>
  <c r="Q18" i="3"/>
  <c r="D6" i="4" s="1"/>
  <c r="Q19" i="3"/>
  <c r="D7" i="4" s="1"/>
  <c r="Q20" i="3"/>
  <c r="D8" i="4" s="1"/>
  <c r="Q21" i="3"/>
  <c r="D9" i="4" s="1"/>
  <c r="Q22" i="3"/>
  <c r="D10" i="4" s="1"/>
  <c r="Q23" i="3"/>
  <c r="D11" i="4" s="1"/>
  <c r="Q24" i="3"/>
  <c r="D12" i="4" s="1"/>
  <c r="Q25" i="3"/>
  <c r="D13" i="4" s="1"/>
  <c r="Q26" i="3"/>
  <c r="Q27" i="3"/>
  <c r="D14" i="4" s="1"/>
  <c r="Q28" i="3"/>
  <c r="D15" i="4" s="1"/>
  <c r="Q29" i="3"/>
  <c r="D16" i="4" s="1"/>
  <c r="Q30" i="3"/>
  <c r="D17" i="4" s="1"/>
  <c r="Q31" i="3"/>
  <c r="D18" i="4" s="1"/>
  <c r="Q32" i="3"/>
  <c r="D19" i="4" s="1"/>
  <c r="Q33" i="3"/>
  <c r="D20" i="4" s="1"/>
  <c r="Q34" i="3"/>
  <c r="D21" i="4" s="1"/>
  <c r="Q35" i="3"/>
  <c r="D22" i="4" s="1"/>
  <c r="Q36" i="3"/>
  <c r="D23" i="4" s="1"/>
  <c r="Q37" i="3"/>
  <c r="D24" i="4" s="1"/>
  <c r="Q38" i="3"/>
  <c r="D25" i="4" s="1"/>
  <c r="Q39" i="3"/>
  <c r="D26" i="4" s="1"/>
  <c r="Q40" i="3"/>
  <c r="D27" i="4" s="1"/>
  <c r="Q41" i="3"/>
  <c r="D28" i="4" s="1"/>
  <c r="Q42" i="3"/>
  <c r="D29" i="4" s="1"/>
  <c r="Q43" i="3"/>
  <c r="D30" i="4" s="1"/>
  <c r="Q2" i="3"/>
  <c r="K3" i="3"/>
  <c r="K4" i="3"/>
  <c r="K5" i="3"/>
  <c r="K6" i="3"/>
  <c r="K7" i="3"/>
  <c r="K8" i="3"/>
  <c r="K9" i="3"/>
  <c r="K10" i="3"/>
  <c r="K11" i="3"/>
  <c r="K12" i="3"/>
  <c r="K13" i="3"/>
  <c r="K14" i="3"/>
  <c r="A2" i="4" s="1"/>
  <c r="K15" i="3"/>
  <c r="A3" i="4" s="1"/>
  <c r="K16" i="3"/>
  <c r="A4" i="4" s="1"/>
  <c r="K17" i="3"/>
  <c r="A5" i="4" s="1"/>
  <c r="K18" i="3"/>
  <c r="A6" i="4" s="1"/>
  <c r="K19" i="3"/>
  <c r="A7" i="4" s="1"/>
  <c r="K20" i="3"/>
  <c r="A8" i="4" s="1"/>
  <c r="K21" i="3"/>
  <c r="A9" i="4" s="1"/>
  <c r="K22" i="3"/>
  <c r="A10" i="4" s="1"/>
  <c r="K23" i="3"/>
  <c r="A11" i="4" s="1"/>
  <c r="K24" i="3"/>
  <c r="A12" i="4" s="1"/>
  <c r="K25" i="3"/>
  <c r="A13" i="4" s="1"/>
  <c r="K26" i="3"/>
  <c r="K27" i="3"/>
  <c r="K28" i="3"/>
  <c r="A15" i="4" s="1"/>
  <c r="K29" i="3"/>
  <c r="A16" i="4" s="1"/>
  <c r="K30" i="3"/>
  <c r="A17" i="4" s="1"/>
  <c r="K31" i="3"/>
  <c r="A18" i="4" s="1"/>
  <c r="K32" i="3"/>
  <c r="A19" i="4" s="1"/>
  <c r="K33" i="3"/>
  <c r="A20" i="4" s="1"/>
  <c r="K34" i="3"/>
  <c r="A21" i="4" s="1"/>
  <c r="K35" i="3"/>
  <c r="A22" i="4" s="1"/>
  <c r="K36" i="3"/>
  <c r="A23" i="4" s="1"/>
  <c r="K37" i="3"/>
  <c r="K38" i="3"/>
  <c r="A25" i="4" s="1"/>
  <c r="K39" i="3"/>
  <c r="A26" i="4" s="1"/>
  <c r="K40" i="3"/>
  <c r="A27" i="4" s="1"/>
  <c r="K41" i="3"/>
  <c r="A28" i="4" s="1"/>
  <c r="K42" i="3"/>
  <c r="A29" i="4" s="1"/>
  <c r="K43" i="3"/>
  <c r="A30" i="4" s="1"/>
  <c r="K2" i="3"/>
</calcChain>
</file>

<file path=xl/sharedStrings.xml><?xml version="1.0" encoding="utf-8"?>
<sst xmlns="http://schemas.openxmlformats.org/spreadsheetml/2006/main" count="3888" uniqueCount="546">
  <si>
    <t>ID</t>
  </si>
  <si>
    <t>ModelID</t>
  </si>
  <si>
    <t>Name</t>
  </si>
  <si>
    <t>DataCategory</t>
  </si>
  <si>
    <t>Description</t>
  </si>
  <si>
    <t>IsHidden</t>
  </si>
  <si>
    <t>TableStorageID</t>
  </si>
  <si>
    <t>ModifiedTime</t>
  </si>
  <si>
    <t>StructureModifiedTime</t>
  </si>
  <si>
    <t>SystemFlags</t>
  </si>
  <si>
    <t>ShowAsVariationsOnly</t>
  </si>
  <si>
    <t>IsPrivate</t>
  </si>
  <si>
    <t>DefaultDetailRowsDefinitionID</t>
  </si>
  <si>
    <t>AlternateSourcePrecedence</t>
  </si>
  <si>
    <t>RefreshPolicyID</t>
  </si>
  <si>
    <t>CalculationGroupID</t>
  </si>
  <si>
    <t>ExcludeFromModelRefresh</t>
  </si>
  <si>
    <t>LineageTag</t>
  </si>
  <si>
    <t>SourceLineageTag</t>
  </si>
  <si>
    <t>SystemManaged</t>
  </si>
  <si>
    <t>ds_presupuesto_regular_dinero</t>
  </si>
  <si>
    <t>False</t>
  </si>
  <si>
    <t>6b3b7cce-e8ea-49fe-a148-29d6260e6bac</t>
  </si>
  <si>
    <t>ds_presupuesto_especifico</t>
  </si>
  <si>
    <t>af76efa9-2543-4d3b-9783-31f19c5797dc</t>
  </si>
  <si>
    <t>ds_creditos_periodo</t>
  </si>
  <si>
    <t>b1619ffd-736d-4558-bf72-1e107ce3d1fc</t>
  </si>
  <si>
    <t>dim_deuda_nombre</t>
  </si>
  <si>
    <t>3acc3b1f-f799-48bd-8de6-dbe8f2bb751c</t>
  </si>
  <si>
    <t>dim_id_deuda</t>
  </si>
  <si>
    <t>fff18ebe-c929-47a0-93be-30ea15d4d0c9</t>
  </si>
  <si>
    <t>DateTableTemplate_717904b0-77e8-4ac0-a95d-482d70730f33</t>
  </si>
  <si>
    <t>True</t>
  </si>
  <si>
    <t>e9df7fca-e876-448c-a15f-11d22eb02546</t>
  </si>
  <si>
    <t>LocalDateTable_ef602d59-38b0-46f4-9cc4-31ba5890f364</t>
  </si>
  <si>
    <t>42acfb04-dd62-4a72-ba34-3d68db1596a3</t>
  </si>
  <si>
    <t>ds_deuda_id</t>
  </si>
  <si>
    <t>ee3a83e6-a2c6-43f1-9757-2198d8c3b128</t>
  </si>
  <si>
    <t>dim_tipo_credito</t>
  </si>
  <si>
    <t>adb02012-d7cb-4c98-ac3e-a742ac595e3e</t>
  </si>
  <si>
    <t>dim_viajes_grupo</t>
  </si>
  <si>
    <t>6c95d71e-7de4-428c-b67d-1b2f7b4d4cfa</t>
  </si>
  <si>
    <t>LocalDateTable_7f7f7798-1c2e-4e75-a67e-974f6820ca60</t>
  </si>
  <si>
    <t>d39fe99e-fdbe-4737-afd4-0bbe136bd10a</t>
  </si>
  <si>
    <t>LocalDateTable_7bedd17d-64fe-4231-9ee4-b6a2cba9c4fe</t>
  </si>
  <si>
    <t>26a2a276-2681-4379-ac03-d4e950a12e29</t>
  </si>
  <si>
    <t>ds_inversiones_movimientos</t>
  </si>
  <si>
    <t>1b2f259b-75a2-41c4-8ca7-f7726fd6e4be</t>
  </si>
  <si>
    <t>dim_categoria_movimiento</t>
  </si>
  <si>
    <t>c2ad06f8-78db-4391-abf6-35f10e23b652</t>
  </si>
  <si>
    <t>fact_c_diaria</t>
  </si>
  <si>
    <t>d34ec92e-b2c1-477e-bf40-86b1ab6bba68</t>
  </si>
  <si>
    <t>fact_creditos</t>
  </si>
  <si>
    <t>dc153b17-2648-4417-8923-194bb68ae9ea</t>
  </si>
  <si>
    <t>LocalDateTable_8bfe11d8-9d64-432e-95fa-9e38282ea2b3</t>
  </si>
  <si>
    <t>2e6c2c71-08cd-4a7c-a6f2-1b4e371b9248</t>
  </si>
  <si>
    <t>LocalDateTable_3681210b-a335-4c77-ac03-01e6f68ab879</t>
  </si>
  <si>
    <t>281c7919-f381-4219-b2a4-3fd2b4e9dd11</t>
  </si>
  <si>
    <t>fact_inversiones</t>
  </si>
  <si>
    <t>66ff4628-ed9a-4462-a4f1-f21e25d38688</t>
  </si>
  <si>
    <t>fact_parametros</t>
  </si>
  <si>
    <t>7c6dd962-70df-476b-89ec-a4a8a5d59b2e</t>
  </si>
  <si>
    <t>fact_presupuesto</t>
  </si>
  <si>
    <t>5c20fc8c-2324-4fde-ac55-cc80ce1b09da</t>
  </si>
  <si>
    <t>LocalDateTable_b6fb53e3-b7ba-4c74-884e-ccca74952e66</t>
  </si>
  <si>
    <t>ddad344d-653c-4f49-9026-ab68d7eb0f19</t>
  </si>
  <si>
    <t>LocalDateTable_e91d21ee-56d7-4dd0-96ca-26396628605f</t>
  </si>
  <si>
    <t>1adcd1ee-dd14-40b9-9bc5-6a8f1b62e97b</t>
  </si>
  <si>
    <t>dim_tipo_inversion</t>
  </si>
  <si>
    <t>1e74a0a5-d76b-40ff-8daa-519eb5e86ace</t>
  </si>
  <si>
    <t>dim_razon_uso</t>
  </si>
  <si>
    <t>72f7e925-5cc1-4e94-8c53-64a2ad19b77d</t>
  </si>
  <si>
    <t>dim_geografia</t>
  </si>
  <si>
    <t>b229706b-e715-4566-a466-91bf16913b36</t>
  </si>
  <si>
    <t>dim_id_presupuesto</t>
  </si>
  <si>
    <t>98bc35a1-58ec-46f7-9cb4-dea3176f32c2</t>
  </si>
  <si>
    <t>dim_id_viajes</t>
  </si>
  <si>
    <t>56c96757-80d4-4ba2-8bc4-a40828094ead</t>
  </si>
  <si>
    <t>LocalDateTable_59fd308b-cf98-4ef8-ae5b-199f77810806</t>
  </si>
  <si>
    <t>5335823f-04c6-4bdb-987d-cdb20645c994</t>
  </si>
  <si>
    <t>LocalDateTable_53e9f058-843e-49fd-93b7-86c8e4083f27</t>
  </si>
  <si>
    <t>08b30c0a-226a-4e37-8f11-9b7625a87c71</t>
  </si>
  <si>
    <t>dim_metodo_pago_general</t>
  </si>
  <si>
    <t>f4de25e5-d4b7-40a1-a108-232dd92ea6f2</t>
  </si>
  <si>
    <t>ds_viaje_tipo_cambio</t>
  </si>
  <si>
    <t>6c48eba8-002f-4062-8e14-9e41bcba670d</t>
  </si>
  <si>
    <t>ds_viajes_url</t>
  </si>
  <si>
    <t>e0212567-2bd2-4d30-85ad-7b3e672284cc</t>
  </si>
  <si>
    <t>ds_viaje_id</t>
  </si>
  <si>
    <t>aa6d1361-71c8-49e4-947e-32a18c46a8ed</t>
  </si>
  <si>
    <t>Calendario</t>
  </si>
  <si>
    <t>29abf783-3bdf-4b70-8c9a-5ab8802fbc5a</t>
  </si>
  <si>
    <t>LocalDateTable_bb815d3e-4cfd-4413-bfc9-f116f4ca9ef5</t>
  </si>
  <si>
    <t>357dc35d-3b2d-4cb5-9653-8e3f16a68a9e</t>
  </si>
  <si>
    <t>LocalDateTable_89cc49f6-f68f-4820-9e32-b1175e645063</t>
  </si>
  <si>
    <t>b1aeef03-470a-4c03-8485-2278cb7bca48</t>
  </si>
  <si>
    <t>LocalDateTable_d78c9103-9f82-4378-9ee1-8323e716fec9</t>
  </si>
  <si>
    <t>ac2a8f9c-1bf1-441b-a70b-52cba92d314a</t>
  </si>
  <si>
    <t>ds_presupuesto_mensual_especifico</t>
  </si>
  <si>
    <t>0b024b32-8254-49d0-b516-3e6e038891f8</t>
  </si>
  <si>
    <t>ds_presupuesto_mensual_regular_dinero</t>
  </si>
  <si>
    <t>f90d0845-6ea0-412d-ba8d-b108ad2ab2d3</t>
  </si>
  <si>
    <t>TableID</t>
  </si>
  <si>
    <t>ExplicitName</t>
  </si>
  <si>
    <t>InferredName</t>
  </si>
  <si>
    <t>ExplicitDataType</t>
  </si>
  <si>
    <t>InferredDataType</t>
  </si>
  <si>
    <t>State</t>
  </si>
  <si>
    <t>IsUnique</t>
  </si>
  <si>
    <t>IsKey</t>
  </si>
  <si>
    <t>IsNullable</t>
  </si>
  <si>
    <t>Alignment</t>
  </si>
  <si>
    <t>TableDetailPosition</t>
  </si>
  <si>
    <t>IsDefaultLabel</t>
  </si>
  <si>
    <t>IsDefaultImage</t>
  </si>
  <si>
    <t>SummarizeBy</t>
  </si>
  <si>
    <t>ColumnStorageID</t>
  </si>
  <si>
    <t>Type</t>
  </si>
  <si>
    <t>SourceColumn</t>
  </si>
  <si>
    <t>ColumnOriginID</t>
  </si>
  <si>
    <t>Expression</t>
  </si>
  <si>
    <t>FormatString</t>
  </si>
  <si>
    <t>IsAvailableInMDX</t>
  </si>
  <si>
    <t>SortByColumnID</t>
  </si>
  <si>
    <t>AttributeHierarchyID</t>
  </si>
  <si>
    <t>RefreshedTime</t>
  </si>
  <si>
    <t>KeepUniqueRows</t>
  </si>
  <si>
    <t>DisplayOrdinal</t>
  </si>
  <si>
    <t>ErrorMessage</t>
  </si>
  <si>
    <t>SourceProviderType</t>
  </si>
  <si>
    <t>DisplayFolder</t>
  </si>
  <si>
    <t>EncodingHint</t>
  </si>
  <si>
    <t>RelatedColumnDetailsID</t>
  </si>
  <si>
    <t>AlternateOfID</t>
  </si>
  <si>
    <t>RowNumber-2662979B-1795-4F74-8F37-6A1BA8059B61</t>
  </si>
  <si>
    <t>31/12/1699 12:00:00 a. m.</t>
  </si>
  <si>
    <t>id</t>
  </si>
  <si>
    <t>c0382ce4-8a8a-4d6e-ba88-7b64b6684096</t>
  </si>
  <si>
    <t>tipo_razon_uso</t>
  </si>
  <si>
    <t>ef4471b2-e482-4ed8-822c-bb38a599f4c7</t>
  </si>
  <si>
    <t>grupo_viaje</t>
  </si>
  <si>
    <t>7953a221-4b9b-44b1-b110-63253553b3af</t>
  </si>
  <si>
    <t>7398c289-6ac7-4d7b-8957-265ec491ee05</t>
  </si>
  <si>
    <t>id_presupuesto</t>
  </si>
  <si>
    <t>8dc70881-33a7-48f4-bfa4-9aebda7b560f</t>
  </si>
  <si>
    <t>d91e7d47-a98e-4463-b05d-a6c207e67ced</t>
  </si>
  <si>
    <t>7f03275a-dd0f-47f9-86db-723db5e43487</t>
  </si>
  <si>
    <t>periodo_inicio</t>
  </si>
  <si>
    <t>b84cd9e2-6840-47dd-8ac2-0bc895abc2ba</t>
  </si>
  <si>
    <t>periodo_corte</t>
  </si>
  <si>
    <t>f4e9a711-2883-4216-affc-7a20715183f5</t>
  </si>
  <si>
    <t>tipo_credito</t>
  </si>
  <si>
    <t>8c6e41b7-b2ef-4e84-bb3b-d2911480dc7c</t>
  </si>
  <si>
    <t>nombre_deudor</t>
  </si>
  <si>
    <t>4d60cf25-7a9b-4423-9dfb-910dba26d35d</t>
  </si>
  <si>
    <t>id_deuda</t>
  </si>
  <si>
    <t>e79a1113-3ddd-4df8-81c1-5d41f64470b5</t>
  </si>
  <si>
    <t>descripcion</t>
  </si>
  <si>
    <t>b04a28b1-33e6-4692-ac08-a043315b773d</t>
  </si>
  <si>
    <t>fecha_inicio</t>
  </si>
  <si>
    <t>Long Date</t>
  </si>
  <si>
    <t>d80ebcd7-8c3f-4da3-aac5-e1080fc9de80</t>
  </si>
  <si>
    <t>finalizado</t>
  </si>
  <si>
    <t>099006ba-7c69-4c8d-8859-fcbef4aea915</t>
  </si>
  <si>
    <t>periodo_id_deuda</t>
  </si>
  <si>
    <t>9934b27d-e16b-49d4-b7c4-713b18e8ab9f</t>
  </si>
  <si>
    <t>Date</t>
  </si>
  <si>
    <t>PaddedDateTableDates</t>
  </si>
  <si>
    <t>[Date]</t>
  </si>
  <si>
    <t>General Date</t>
  </si>
  <si>
    <t>36213d03-c5d0-4efe-b4f5-a79673bd48c0</t>
  </si>
  <si>
    <t>Year</t>
  </si>
  <si>
    <t>Years</t>
  </si>
  <si>
    <t>YEAR([Date])</t>
  </si>
  <si>
    <t>8098c5dd-3523-4ff9-8cd1-1d96915c643e</t>
  </si>
  <si>
    <t>MonthNo</t>
  </si>
  <si>
    <t>MonthOfYear</t>
  </si>
  <si>
    <t>MONTH([Date])</t>
  </si>
  <si>
    <t>745b4f4f-f7c5-4da7-a386-684e69dedb91</t>
  </si>
  <si>
    <t>Month</t>
  </si>
  <si>
    <t>Months</t>
  </si>
  <si>
    <t>FORMAT([Date], "MMMM")</t>
  </si>
  <si>
    <t>451cec7f-3087-4086-b538-22b36349e6f4</t>
  </si>
  <si>
    <t>QuarterNo</t>
  </si>
  <si>
    <t>QuarterOfYear</t>
  </si>
  <si>
    <t>INT(([MonthNo] + 2) / 3)</t>
  </si>
  <si>
    <t>74e1fbc8-354e-40a5-8f72-b0139ea8227b</t>
  </si>
  <si>
    <t>Quarter</t>
  </si>
  <si>
    <t>Quarters</t>
  </si>
  <si>
    <t>Qtr  &amp; [QuarterNo]</t>
  </si>
  <si>
    <t>287f395d-c2a4-405c-92a6-6b9bdb64f0f8</t>
  </si>
  <si>
    <t>Day</t>
  </si>
  <si>
    <t>DayOfMonth</t>
  </si>
  <si>
    <t>DAY([Date])</t>
  </si>
  <si>
    <t>cf8e9113-e06c-409d-a9ff-62a3d90560af</t>
  </si>
  <si>
    <t>5f6f1a5e-497e-4fde-968c-7fd88835e88e</t>
  </si>
  <si>
    <t>041eae69-bd59-4d96-9956-95074f60e55c</t>
  </si>
  <si>
    <t>d0fdeabc-2f62-496a-9bb3-8e666e85b448</t>
  </si>
  <si>
    <t>ab6822b6-0e3f-4a32-aa55-e8a92675da41</t>
  </si>
  <si>
    <t>ea61bc36-49a9-4537-864c-fd3a3a958634</t>
  </si>
  <si>
    <t>9de611e8-cdcb-4fcb-b55b-738eda50fa48</t>
  </si>
  <si>
    <t>ba9aea16-93ef-4b04-b4e7-f3fe7dcefdda</t>
  </si>
  <si>
    <t>3eabf073-b08a-4143-8d39-9cfa57eb7f1e</t>
  </si>
  <si>
    <t>da69ce3c-6b81-4cf7-a89c-2e1c2eb40f78</t>
  </si>
  <si>
    <t>7c2612e6-f27a-4bee-b0a1-209e83c361cb</t>
  </si>
  <si>
    <t>6bd4e523-7718-462d-b1a2-c6684c9ba1bc</t>
  </si>
  <si>
    <t>98953957-36ee-437b-ac89-9b01e87e520f</t>
  </si>
  <si>
    <t>57d2c7e2-6177-4d37-8cda-49543f62b7ae</t>
  </si>
  <si>
    <t>viaje_principal</t>
  </si>
  <si>
    <t>1fed11fe-3b85-43a7-aada-c3d3dad05d9c</t>
  </si>
  <si>
    <t>id_tabla_geografia</t>
  </si>
  <si>
    <t>6cc87fa5-120f-41c0-9bf5-135ba3b30c43</t>
  </si>
  <si>
    <t>primera_fecha</t>
  </si>
  <si>
    <t>d44cd642-7f1c-4afb-a66e-88427e54e4e7</t>
  </si>
  <si>
    <t>ultima_fecha</t>
  </si>
  <si>
    <t>e7bf6a51-c5b7-426a-93f0-ccf8490b96a5</t>
  </si>
  <si>
    <t>veces_usado</t>
  </si>
  <si>
    <t>a234cac5-12e6-4f50-950a-27d7164a9419</t>
  </si>
  <si>
    <t>88d4b4c8-8478-4991-a13e-a9874e7a002b</t>
  </si>
  <si>
    <t>75c7f49c-1e92-41e0-8848-018fc1d35b30</t>
  </si>
  <si>
    <t>5f034af9-ac7c-49c8-9b60-de0eb0d0039a</t>
  </si>
  <si>
    <t>6a04e688-ac62-47d5-8779-479e0d21635e</t>
  </si>
  <si>
    <t>166e7f1d-93c8-4158-8c66-a3865b64f004</t>
  </si>
  <si>
    <t>714dfb14-8cbd-4525-9316-2ec93ba56ab2</t>
  </si>
  <si>
    <t>9a65f67f-ea17-4b99-b24f-59f5090b6108</t>
  </si>
  <si>
    <t>cc277f6a-ad0a-4e47-a76e-86d8d41fcd5f</t>
  </si>
  <si>
    <t>800754c4-47f6-48bd-bb6e-14406f3dd162</t>
  </si>
  <si>
    <t>5737cd85-5f78-436a-9c2e-ec760a7c0e8d</t>
  </si>
  <si>
    <t>8bf751ce-f8b6-4d05-8fc7-4ff68e03972c</t>
  </si>
  <si>
    <t>eb8f9d64-8efe-4da3-9d50-18aa84836ac3</t>
  </si>
  <si>
    <t>8f79e2b2-002a-42e3-96ac-1f53f29cb201</t>
  </si>
  <si>
    <t>76923594-9049-4224-8559-db1cb18b7785</t>
  </si>
  <si>
    <t>9bf23303-dc97-443f-b93f-c7037a56924c</t>
  </si>
  <si>
    <t>tipo_inversion_detectado</t>
  </si>
  <si>
    <t>5763d37c-a352-4c1a-ac6e-eb189128e3ef</t>
  </si>
  <si>
    <t>categoria_movimiento</t>
  </si>
  <si>
    <t>10c20e93-77fa-465f-9d4d-2d70d2e3a005</t>
  </si>
  <si>
    <t>854cd9f5-a285-4d35-a67c-448cce094d29</t>
  </si>
  <si>
    <t>2112d547-1bc6-4f2f-b738-946eb5971928</t>
  </si>
  <si>
    <t>fecha</t>
  </si>
  <si>
    <t>451f5241-2a4d-46d4-b20b-908b4ccad490</t>
  </si>
  <si>
    <t>razon_uso</t>
  </si>
  <si>
    <t>45669ca4-4b0f-4a1f-bb3d-8e656746657e</t>
  </si>
  <si>
    <t>clave</t>
  </si>
  <si>
    <t>f0648515-6218-4099-a19a-04d587ed0d1f</t>
  </si>
  <si>
    <t>fbf29825-3b3e-415f-a83d-6b3e64c7434d</t>
  </si>
  <si>
    <t>lugar_de_uso</t>
  </si>
  <si>
    <t>13a9e50e-44cc-4ef1-90a2-fdad6b5b5ff4</t>
  </si>
  <si>
    <t>metodo_pago</t>
  </si>
  <si>
    <t>512477b5-e612-4226-a1d7-2ec77960d9b9</t>
  </si>
  <si>
    <t>monto</t>
  </si>
  <si>
    <t>395ca922-d792-46c3-859a-760807f1379a</t>
  </si>
  <si>
    <t>id_viaje</t>
  </si>
  <si>
    <t>2c5b89c6-9d68-448e-a65d-085f160158f9</t>
  </si>
  <si>
    <t>ee962f20-8103-499d-b6c9-51994b9e7b11</t>
  </si>
  <si>
    <t>periodo_fact_c_diaria</t>
  </si>
  <si>
    <t>f0e0605d-3b1c-4658-9b94-baf48aedb469</t>
  </si>
  <si>
    <t>metodo_pago_general</t>
  </si>
  <si>
    <t>f4034a71-21b5-4df9-abce-1065f9ec22ee</t>
  </si>
  <si>
    <t>id_creditos</t>
  </si>
  <si>
    <t>4b741ad0-c09f-4937-ba9f-37b4ea2eb9c0</t>
  </si>
  <si>
    <t>82b29cf6-67a0-43ed-9946-3a404631458f</t>
  </si>
  <si>
    <t>fecha_corte</t>
  </si>
  <si>
    <t>64ba121e-c8b2-42ea-af8e-8ee6ce536d69</t>
  </si>
  <si>
    <t>fecha_limite_pago</t>
  </si>
  <si>
    <t>a9003f18-7b7b-46c3-9e02-f1ba7e36acfd</t>
  </si>
  <si>
    <t>listo_para_pago</t>
  </si>
  <si>
    <t>5130537d-c92f-4cb6-beaa-b366f0ae8ed9</t>
  </si>
  <si>
    <t>8c8e42ae-8f44-4e53-a2ce-9f91c90ba5ec</t>
  </si>
  <si>
    <t>71f0b217-d1b1-4bee-a381-21ffed216fd2</t>
  </si>
  <si>
    <t>periodo_limite_pago</t>
  </si>
  <si>
    <t>5f0c9f6c-878e-4c19-8c81-24442f9ce30f</t>
  </si>
  <si>
    <t>643b5243-213d-4497-83a7-d01fc1bc703d</t>
  </si>
  <si>
    <t>5873bf34-cce4-49e3-95f2-8aaba5da878d</t>
  </si>
  <si>
    <t>cf6df085-52a7-403b-8501-1538d8cc5a48</t>
  </si>
  <si>
    <t>101e6e3d-80b7-4d6e-b944-bda6f90592f6</t>
  </si>
  <si>
    <t>e06178f2-ea65-438c-90a4-a0f5a9888dfd</t>
  </si>
  <si>
    <t>3719fe00-d8be-4fc7-96ac-ddaaed53f9a9</t>
  </si>
  <si>
    <t>9c061244-66f9-4500-9972-897c8f8cbf5e</t>
  </si>
  <si>
    <t>4302136b-6ddd-4811-abf1-292ac9c4ea90</t>
  </si>
  <si>
    <t>95ef648c-fcf1-40ce-8455-5d2910e863b1</t>
  </si>
  <si>
    <t>1b0fc4ce-db7f-41aa-b742-d97b00ce0d13</t>
  </si>
  <si>
    <t>b5ac91d6-40ea-4c2c-b19c-60c458a12bf0</t>
  </si>
  <si>
    <t>1c9abe30-2de9-4f54-b1d4-74359f5711b8</t>
  </si>
  <si>
    <t>afb70613-bc84-451a-bc89-4086f096a618</t>
  </si>
  <si>
    <t>158fa969-c154-4618-ac9d-d7e17f9b12e0</t>
  </si>
  <si>
    <t>4cc5444c-a5ef-41bc-b53e-5ba2dc0ab17d</t>
  </si>
  <si>
    <t>id_inversiones</t>
  </si>
  <si>
    <t>8c8aff30-21c1-48ae-86fa-66ff37fb82b7</t>
  </si>
  <si>
    <t>tipo_inversion</t>
  </si>
  <si>
    <t>4a7622b1-b7e2-4cc6-b696-95465189f89a</t>
  </si>
  <si>
    <t>tipo_acceso</t>
  </si>
  <si>
    <t>f19b3242-5e95-4b75-9995-d2f4343e3da8</t>
  </si>
  <si>
    <t>fecha_monto</t>
  </si>
  <si>
    <t>d9f1fb20-ec55-4fa1-bee8-df1301add1d9</t>
  </si>
  <si>
    <t>5b60018a-e138-42a9-9464-7d38ff3a1882</t>
  </si>
  <si>
    <t>periodo_inversiones</t>
  </si>
  <si>
    <t>56be42ea-a41e-4bfb-b11f-781675678649</t>
  </si>
  <si>
    <t>diferencia_mensual</t>
  </si>
  <si>
    <t>c886dffd-ebb1-4806-bdce-50367996c799</t>
  </si>
  <si>
    <t>id_parametros</t>
  </si>
  <si>
    <t>b130fe24-5bc4-4b9b-af13-ae12e4337d9b</t>
  </si>
  <si>
    <t>parametro</t>
  </si>
  <si>
    <t>99c7076b-8ec2-479c-8d56-23ac92213c62</t>
  </si>
  <si>
    <t>valor</t>
  </si>
  <si>
    <t>897149de-8a3e-408d-b644-5a44757704a5</t>
  </si>
  <si>
    <t>fecha_captura</t>
  </si>
  <si>
    <t>f2aac1fa-9f26-4a21-a6a3-a74aaf9cb3a7</t>
  </si>
  <si>
    <t>limite_autoimpuesto</t>
  </si>
  <si>
    <t>3b0f4530-1909-4dd2-8e2d-c6aaa0aa7c94</t>
  </si>
  <si>
    <t>periodo_parametros</t>
  </si>
  <si>
    <t>03555b49-e3af-4bd9-9c69-53524360e99d</t>
  </si>
  <si>
    <t>id_presupuesto_mensual</t>
  </si>
  <si>
    <t>90d0663b-6279-4696-a63d-6b2fa12585ee</t>
  </si>
  <si>
    <t>inicio_mes</t>
  </si>
  <si>
    <t>f09bce08-d5e2-4632-ad3f-3fb1bc4f84da</t>
  </si>
  <si>
    <t>final_mes</t>
  </si>
  <si>
    <t>cae6d3c7-1453-4c28-a03b-ac8592434419</t>
  </si>
  <si>
    <t>292130cf-2fa8-4e2e-8167-2c3c609ec6f3</t>
  </si>
  <si>
    <t>6b486d27-6631-442a-a290-9e664e7dd4e6</t>
  </si>
  <si>
    <t>monto_presupuesto</t>
  </si>
  <si>
    <t>50cf99a9-f04b-4059-987c-47f820ea1cfd</t>
  </si>
  <si>
    <t>bc48ad1b-d1db-41dd-8cee-ef09b1787514</t>
  </si>
  <si>
    <t>6582f733-5dd9-436b-94de-be3bad8a80f3</t>
  </si>
  <si>
    <t>periodo_final</t>
  </si>
  <si>
    <t>a2f7417f-467c-408e-9714-fe21506b3288</t>
  </si>
  <si>
    <t>e25e6629-023c-4e4a-8c98-7af233427f78</t>
  </si>
  <si>
    <t>a351c7c4-00ac-4c9b-bb00-634a8c0e630f</t>
  </si>
  <si>
    <t>35ffa9c5-fbe4-40d8-bbd4-3e52c6ac383f</t>
  </si>
  <si>
    <t>1aa7e8f6-3775-462d-9a46-cda02c68b0ff</t>
  </si>
  <si>
    <t>abb8d444-cd5d-4925-9338-805f529e9329</t>
  </si>
  <si>
    <t>a86cf9af-f283-43ee-b1c7-bf79b31dcbd2</t>
  </si>
  <si>
    <t>95ef00b2-d1c6-47c9-9cc1-23d66ac44609</t>
  </si>
  <si>
    <t>e02d5601-4358-4189-adb4-261a6dc5c4af</t>
  </si>
  <si>
    <t>47a92a73-5e60-4588-a179-683d122371b9</t>
  </si>
  <si>
    <t>14878df1-c7c5-4810-99de-e8ed10483d0b</t>
  </si>
  <si>
    <t>3c5c2136-7bbd-4da2-bec4-709e1569c8d3</t>
  </si>
  <si>
    <t>574ea200-1761-4c06-b512-482e42a35c76</t>
  </si>
  <si>
    <t>970b9e81-e790-4df2-928b-9c1640a111a6</t>
  </si>
  <si>
    <t>50aedf89-6a07-4009-b034-231b805a5693</t>
  </si>
  <si>
    <t>95e4a211-7052-4f31-b205-8293d9770fca</t>
  </si>
  <si>
    <t>41614d1b-8ff8-47c9-b7c3-1084db15a739</t>
  </si>
  <si>
    <t>93a20ac8-8430-46a3-b49e-a09e9bdcf234</t>
  </si>
  <si>
    <t>efbcc2c6-83f9-40b6-a16e-c0e369184204</t>
  </si>
  <si>
    <t>id_geografia</t>
  </si>
  <si>
    <t>82776451-cab0-4651-8093-6561f85a481d</t>
  </si>
  <si>
    <t>ubicacion_viajes</t>
  </si>
  <si>
    <t>506a62bf-b295-4a19-824c-9658c9de3a58</t>
  </si>
  <si>
    <t>continente</t>
  </si>
  <si>
    <t>787bc8d8-3382-4172-adff-7cc49b4fb2df</t>
  </si>
  <si>
    <t>pais</t>
  </si>
  <si>
    <t>d0465c5e-3df8-478a-a5ee-44c88aa2f7c4</t>
  </si>
  <si>
    <t>estado_region</t>
  </si>
  <si>
    <t>78fd3b37-bdae-4e18-9527-b5f1e011e764</t>
  </si>
  <si>
    <t>moneda</t>
  </si>
  <si>
    <t>4cdf6bdc-147f-4c4e-ae44-e6624add4c10</t>
  </si>
  <si>
    <t>latitud</t>
  </si>
  <si>
    <t>e3b42fb0-951a-42ad-959c-e6320acc1666</t>
  </si>
  <si>
    <t>longitud</t>
  </si>
  <si>
    <t>0f2d6925-ceb8-4725-91f9-9304ce4507cb</t>
  </si>
  <si>
    <t>5ca142b0-4083-47ea-946d-b971dabc42e6</t>
  </si>
  <si>
    <t>concepto_principal</t>
  </si>
  <si>
    <t>cae5a6c2-5c45-48ee-981f-51bd538f06d9</t>
  </si>
  <si>
    <t>tipo</t>
  </si>
  <si>
    <t>58421f72-844f-4a39-8949-ee47e024ceb7</t>
  </si>
  <si>
    <t>b365676d-a416-41b3-a108-73e551377383</t>
  </si>
  <si>
    <t>967b1aac-618d-4ef4-ba8a-2bd78ec94c23</t>
  </si>
  <si>
    <t>31d08575-e2df-4fea-b3fc-527f45ecfd4e</t>
  </si>
  <si>
    <t>79174bb0-b33c-40ae-b37c-8a6e393cc103</t>
  </si>
  <si>
    <t>descripcion_c_diaria</t>
  </si>
  <si>
    <t>06566c65-aa12-40c5-ab49-99b6f17c2cb8</t>
  </si>
  <si>
    <t>e8ddfcd1-8890-4427-bc11-44ca8290194d</t>
  </si>
  <si>
    <t>4a8d74ef-a1d2-4896-809e-447b517b4430</t>
  </si>
  <si>
    <t>d5c92973-5757-4aa9-8bd4-a6a01e5ceb7a</t>
  </si>
  <si>
    <t>a2ef2c56-0dab-424f-8c17-74e00c993f1d</t>
  </si>
  <si>
    <t>desde</t>
  </si>
  <si>
    <t>4677b0ec-2026-41e4-b341-da7a7e25b3d8</t>
  </si>
  <si>
    <t>hasta</t>
  </si>
  <si>
    <t>deb8e232-7819-4495-aba5-c689503b54ed</t>
  </si>
  <si>
    <t>f9d3b6b7-4ae5-4a4b-8692-e15cdb85c050</t>
  </si>
  <si>
    <t>0b74d5e9-b9e6-4d2c-9a0b-73abcefaba26</t>
  </si>
  <si>
    <t>002cd50c-f467-4cd4-87d9-f2a04ff13044</t>
  </si>
  <si>
    <t>f25db9fc-d021-42a6-89a8-20697af524e2</t>
  </si>
  <si>
    <t>a9307b6c-a7c4-41de-b41a-b0ee1e1483ee</t>
  </si>
  <si>
    <t>80c72897-59f1-48df-bf59-f7134b467948</t>
  </si>
  <si>
    <t>60d9b227-b918-47c5-90ba-d620615c016a</t>
  </si>
  <si>
    <t>9edf5333-f9f5-44f1-ac10-82a06abc7668</t>
  </si>
  <si>
    <t>58c9ea00-dc5e-4539-adaf-c363009595fa</t>
  </si>
  <si>
    <t>c75b38c1-1bc9-496c-9de3-6f69a777e66c</t>
  </si>
  <si>
    <t>ce86b345-3ffe-4f38-b197-c76ee2c72c0b</t>
  </si>
  <si>
    <t>a332b961-e4e2-4ab8-8a67-d76fb31bb193</t>
  </si>
  <si>
    <t>b04f9b9b-f2f1-4fe8-a65d-ce861cf84108</t>
  </si>
  <si>
    <t>5e5042df-49f7-4007-bfb2-8b2e1dd026e5</t>
  </si>
  <si>
    <t>b9c9775d-4e10-41d7-a29e-c0f33de4b056</t>
  </si>
  <si>
    <t>bd0c0f9e-097f-4e81-8089-f878d5fba2c4</t>
  </si>
  <si>
    <t>355406f8-802f-4b6b-9855-1cefddd49f34</t>
  </si>
  <si>
    <t>31ce31e8-9c85-4c9e-91a0-54bd72fce44f</t>
  </si>
  <si>
    <t>tipo_cambio</t>
  </si>
  <si>
    <t>251bb625-dc6d-4d93-acb4-4d42ee75ff9d</t>
  </si>
  <si>
    <t>imagen_url</t>
  </si>
  <si>
    <t>6ee1c79a-55fe-41d2-97df-cf3e0115ee87</t>
  </si>
  <si>
    <t>0f892ed1-1f89-4cb8-bc2c-2deaf70b8f53</t>
  </si>
  <si>
    <t>064e27ac-25bd-4cdf-8ec0-8c13c17b1b1a</t>
  </si>
  <si>
    <t>4821285c-cbc6-4a64-b21d-62e51af5694e</t>
  </si>
  <si>
    <t>b7b9ff5e-9685-4cd2-86dc-ccbca854d033</t>
  </si>
  <si>
    <t>Fecha</t>
  </si>
  <si>
    <t>[Fecha]</t>
  </si>
  <si>
    <t>d1fd9a73-c8ba-47e5-8b89-56c060a02ef0</t>
  </si>
  <si>
    <t>Año</t>
  </si>
  <si>
    <t>[Año]</t>
  </si>
  <si>
    <t>a83bc05c-37ce-4e34-bc72-de5c4d79bf02</t>
  </si>
  <si>
    <t>Mes</t>
  </si>
  <si>
    <t>[Mes]</t>
  </si>
  <si>
    <t>9f68b425-d382-4fa5-b4fb-e2ce2321cecf</t>
  </si>
  <si>
    <t>Numero del Mes</t>
  </si>
  <si>
    <t>[Numero del Mes]</t>
  </si>
  <si>
    <t>cccbd252-1285-451c-8c39-bb4f69040f40</t>
  </si>
  <si>
    <t>Dia</t>
  </si>
  <si>
    <t>[Dia]</t>
  </si>
  <si>
    <t>6caa0d1b-1996-4dc3-957e-cce5301e0eb1</t>
  </si>
  <si>
    <t>Año Mes</t>
  </si>
  <si>
    <t>[Año Mes]</t>
  </si>
  <si>
    <t>4bdd21d7-b6f3-46a1-9467-1babb018f547</t>
  </si>
  <si>
    <t>Mes Año</t>
  </si>
  <si>
    <t>[Mes Año]</t>
  </si>
  <si>
    <t>28a0fb5c-f634-4733-882e-0412c6dde128</t>
  </si>
  <si>
    <t>PrimerDiaMes</t>
  </si>
  <si>
    <t>[PrimerDiaMes]</t>
  </si>
  <si>
    <t>a8fa9622-6e76-4ec5-ad03-32a67f54b1e6</t>
  </si>
  <si>
    <t>FinMes</t>
  </si>
  <si>
    <t>[FinMes]</t>
  </si>
  <si>
    <t>b23884ff-ff62-4fa7-abad-48328182316c</t>
  </si>
  <si>
    <t>CodigoMes</t>
  </si>
  <si>
    <t>[CodigoMes]</t>
  </si>
  <si>
    <t>31e2a3e6-02a8-4818-8be0-48afbcade619</t>
  </si>
  <si>
    <t>f020702e-f156-4484-b5a9-c8920967e996</t>
  </si>
  <si>
    <t>9552e14a-c3b3-4ee7-97af-8f8f041e040e</t>
  </si>
  <si>
    <t>44510ce7-3a5b-40e7-91d7-0dd5b99d9927</t>
  </si>
  <si>
    <t>1a59155e-2e1d-4a77-81e4-7c5517ae52e9</t>
  </si>
  <si>
    <t>5e461c80-9948-47fe-a00c-64555019c204</t>
  </si>
  <si>
    <t>670d4a55-9b78-4052-b1a6-1580eb412363</t>
  </si>
  <si>
    <t>99829657-e508-4faa-9e26-d8b1301036ac</t>
  </si>
  <si>
    <t>7df07b12-81e2-47ed-8ce3-fb5dee3631ef</t>
  </si>
  <si>
    <t>65e17756-e1be-4660-a7aa-941cb7c9a4bd</t>
  </si>
  <si>
    <t>b6c98a4b-43c1-4866-9f70-f48e0755958a</t>
  </si>
  <si>
    <t>910b69e0-a513-4949-9071-527e50703138</t>
  </si>
  <si>
    <t>5d0e982a-31c2-45f0-bfae-28ada2f42872</t>
  </si>
  <si>
    <t>0405325d-2367-4677-ba12-e211d33f0f89</t>
  </si>
  <si>
    <t>86d78e63-8ca2-499e-bb21-0973622db07b</t>
  </si>
  <si>
    <t>baf5fb79-9e62-4261-a246-3b1a356f035c</t>
  </si>
  <si>
    <t>7f22df2f-4f81-4373-8723-7e285629f695</t>
  </si>
  <si>
    <t>b0575c60-d0dd-4efe-9a81-fb486d64be48</t>
  </si>
  <si>
    <t>f6186673-662f-4ca8-9ef0-6a14f3a8f79f</t>
  </si>
  <si>
    <t>07e7cc7b-25ce-4e4c-b80f-a47771bbd799</t>
  </si>
  <si>
    <t>c8a9e033-94e1-4757-95c6-193899501d6d</t>
  </si>
  <si>
    <t>d03d2d03-5c2e-4b1a-8eaa-282d434f3933</t>
  </si>
  <si>
    <t>c68f008e-9784-4cdd-ba1e-0548fce4b0a7</t>
  </si>
  <si>
    <t>descripcion_id</t>
  </si>
  <si>
    <t>d7cc01de-b417-488d-9158-a656b18e8982</t>
  </si>
  <si>
    <t>tipo_id</t>
  </si>
  <si>
    <t>47a950a7-091d-483d-b58b-1aa162081435</t>
  </si>
  <si>
    <t>7c279394-f16b-433a-91c8-afb98bcde929</t>
  </si>
  <si>
    <t>6aaaab5d-516f-4858-8f03-1db40d9a98b3</t>
  </si>
  <si>
    <t>a36181ca-2095-4071-bfc9-179f42927322</t>
  </si>
  <si>
    <t>mes_regular_dinero</t>
  </si>
  <si>
    <t>b82e7e1d-84b4-4355-b284-771b19ed379a</t>
  </si>
  <si>
    <t>2923f7d9-84f8-4609-b01b-bcfc1c6a2f08</t>
  </si>
  <si>
    <t>periodo_mes</t>
  </si>
  <si>
    <t>ada22a70-caf4-453b-95a3-8a83d1b1bafe</t>
  </si>
  <si>
    <t>4957ded1-e19a-4a84-9265-4bfb170fb9b0</t>
  </si>
  <si>
    <t>id_mensual_regular_dinero</t>
  </si>
  <si>
    <t>6ac8aafa-baaf-4099-b6ae-5d2a2f8cf350</t>
  </si>
  <si>
    <t>IsActive</t>
  </si>
  <si>
    <t>CrossFilteringBehavior</t>
  </si>
  <si>
    <t>JoinOnDateBehavior</t>
  </si>
  <si>
    <t>RelyOnReferentialIntegrity</t>
  </si>
  <si>
    <t>FromTableID</t>
  </si>
  <si>
    <t>FromColumnID</t>
  </si>
  <si>
    <t>FromCardinality</t>
  </si>
  <si>
    <t>ToTableID</t>
  </si>
  <si>
    <t>ToColumnID</t>
  </si>
  <si>
    <t>ToCardinality</t>
  </si>
  <si>
    <t>RelationshipStorageID</t>
  </si>
  <si>
    <t>RelationshipStorage2ID</t>
  </si>
  <si>
    <t>SecurityFilteringBehavior</t>
  </si>
  <si>
    <t>066af2fb-868e-499c-b340-db9a8f0020cf</t>
  </si>
  <si>
    <t>c1785360-d268-4722-b542-d36b919265e4</t>
  </si>
  <si>
    <t>322cad84-14ba-4b4c-bf2f-2b1c67977a1a</t>
  </si>
  <si>
    <t>2a1d75c3-176d-417e-9418-8db6ee3202d8</t>
  </si>
  <si>
    <t>befa0443-0736-4b65-b65a-cb08dda86309</t>
  </si>
  <si>
    <t>ac75c67e-c0c2-4429-b0bc-2bc140c566a9</t>
  </si>
  <si>
    <t>c548da7b-2daf-4acc-8556-a319af7576b6</t>
  </si>
  <si>
    <t>480d6912-0461-49d0-a7cc-9f2b44a025ac</t>
  </si>
  <si>
    <t>98028ae4-8b2a-44ca-9d4c-2936ff8b962b</t>
  </si>
  <si>
    <t>877316de-440c-4f83-b485-f88083dbbe34</t>
  </si>
  <si>
    <t>32ee34c9-b417-47c0-bdec-21f80903a39c</t>
  </si>
  <si>
    <t>ee256e21-7e96-4d26-ae3e-d4e2ed58ab1e</t>
  </si>
  <si>
    <t>77f6ce2b-ee06-dad1-7cec-6a83dc995aaa</t>
  </si>
  <si>
    <t>dedbd68c-c2e2-d716-29de-6bce8909a206</t>
  </si>
  <si>
    <t>04f29f96-70e6-f04a-0a4f-ea355fa44639</t>
  </si>
  <si>
    <t>907b7dff-9d55-8e0c-8907-58fd0edc5970</t>
  </si>
  <si>
    <t>8f542c5d-e9b8-fcf5-5dd7-a4760c8b6118</t>
  </si>
  <si>
    <t>b8d02804-37a4-c364-487f-5a4625be7ce8</t>
  </si>
  <si>
    <t>bbf76540-689d-b1fa-ca76-6c5db5fb8669</t>
  </si>
  <si>
    <t>082c703a-592a-43e0-b969-da699a3f9e83</t>
  </si>
  <si>
    <t>56c96849-8cb6-a55f-bf3f-bdd5c658fa9f</t>
  </si>
  <si>
    <t>43194a4b-c9cb-6d8a-1e24-69ca7a63394b</t>
  </si>
  <si>
    <t>680b9a9e-e3a6-3b7d-cbd0-bec1d1313f6f</t>
  </si>
  <si>
    <t>ae65b710-58bc-ad3d-9e55-189705ea8973</t>
  </si>
  <si>
    <t>9234781a-4943-8405-eeda-df3dc2ccc510</t>
  </si>
  <si>
    <t>33e1874f-2dd5-6785-e793-4dcb929edf82</t>
  </si>
  <si>
    <t>30b64cc0-a7af-38d1-1d08-6a16dbee9fd4</t>
  </si>
  <si>
    <t>fe8cdec5-4808-813a-baa7-cb302e4bec9a</t>
  </si>
  <si>
    <t>fc5dcd22-4d79-222c-641e-59076b73de0e</t>
  </si>
  <si>
    <t>e82ede54-2eaa-a04a-f2da-a09ee2095e5b</t>
  </si>
  <si>
    <t>b4a09b8c-c79a-e01c-edc5-f88fdfc1556d</t>
  </si>
  <si>
    <t>86a28c1b-fb76-7f86-7e73-b18784348304</t>
  </si>
  <si>
    <t>9264dea8-872b-0d00-f7ff-12133d1758b8</t>
  </si>
  <si>
    <t>ce7c3ef9-5d11-23a8-7e1d-4fd601a7c887</t>
  </si>
  <si>
    <t>ebc3887d-a7d3-a8be-9376-f5a27e80d6d3</t>
  </si>
  <si>
    <t>2318dac3-c98c-bb0c-ad63-67ace3b843bd</t>
  </si>
  <si>
    <t>96a6c7c5-00d9-a767-d3f9-ef2534d1bd7a</t>
  </si>
  <si>
    <t>ca9ac9cf-b9f4-a10c-037b-2e59edb5badd</t>
  </si>
  <si>
    <t>7f2b18f2-e03f-d9de-ae3f-92ccb9da522d</t>
  </si>
  <si>
    <t>fcbd8fc5-9a9b-905f-4f1e-cd2dadd5326b</t>
  </si>
  <si>
    <t>bad3c700-2d5f-f8aa-0c8a-cf0d9d55a88e</t>
  </si>
  <si>
    <t>ea0854ee-649b-e9c0-ecae-376a1308798e</t>
  </si>
  <si>
    <t>Cardinality</t>
  </si>
  <si>
    <t>ds_presupuesto_aplicado</t>
  </si>
  <si>
    <t>Many-to-One</t>
  </si>
  <si>
    <t>Single</t>
  </si>
  <si>
    <t>primer_dia_mes_corte</t>
  </si>
  <si>
    <t>dim_nombre</t>
  </si>
  <si>
    <t>nombre</t>
  </si>
  <si>
    <t>ds_nombre</t>
  </si>
  <si>
    <t>Both</t>
  </si>
  <si>
    <t>dim_nombre_clave</t>
  </si>
  <si>
    <t>ds_ingresos</t>
  </si>
  <si>
    <t>dim_ingresos</t>
  </si>
  <si>
    <t>tipo_ingreso</t>
  </si>
  <si>
    <t>ds_inversiones_impacto</t>
  </si>
  <si>
    <t>dim_tipo_cambio_moneda</t>
  </si>
  <si>
    <t>id_credito</t>
  </si>
  <si>
    <t>dim_clave</t>
  </si>
  <si>
    <t>dim_canal_ingreso</t>
  </si>
  <si>
    <t>canal_ingreso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</si>
</sst>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/>
    <xf numFmtId="22" fontId="0" fillId="0" borderId="0" xfId="0" applyNumberFormat="1" applyAlignment="1">
      <alignment vertical="center" wrapText="1"/>
    </xf>
    <xf numFmtId="11" fontId="0" fillId="0" borderId="0" xfId="0" applyNumberFormat="1"/>
    <xf numFmtId="0" fontId="0" fillId="2" borderId="0" xfId="0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1FE6-404B-4BDD-8CDD-F6C523B27953}">
  <dimension ref="A1:T41"/>
  <sheetViews>
    <sheetView topLeftCell="A6" workbookViewId="0">
      <selection activeCell="A8" sqref="A8"/>
    </sheetView>
  </sheetViews>
  <sheetFormatPr baseColWidth="10" defaultRowHeight="14.5" x14ac:dyDescent="0.35"/>
  <sheetData>
    <row r="1" spans="1:2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72.5" x14ac:dyDescent="0.35">
      <c r="A2" s="1">
        <v>13</v>
      </c>
      <c r="B2" s="1">
        <v>1</v>
      </c>
      <c r="C2" s="1" t="s">
        <v>20</v>
      </c>
      <c r="D2" s="1"/>
      <c r="E2" s="1"/>
      <c r="F2" s="1" t="s">
        <v>21</v>
      </c>
      <c r="G2" s="1">
        <v>59</v>
      </c>
      <c r="H2" s="3">
        <v>45967.732951388891</v>
      </c>
      <c r="I2" s="3">
        <v>45967.769548611112</v>
      </c>
      <c r="J2" s="1">
        <v>0</v>
      </c>
      <c r="K2" s="1" t="s">
        <v>21</v>
      </c>
      <c r="L2" s="1" t="s">
        <v>21</v>
      </c>
      <c r="M2" s="1"/>
      <c r="N2" s="1">
        <v>0</v>
      </c>
      <c r="O2" s="1"/>
      <c r="P2" s="1"/>
      <c r="Q2" s="1" t="s">
        <v>21</v>
      </c>
      <c r="R2" s="1" t="s">
        <v>22</v>
      </c>
      <c r="S2" s="1"/>
      <c r="T2" s="1" t="s">
        <v>21</v>
      </c>
    </row>
    <row r="3" spans="1:20" ht="72.5" x14ac:dyDescent="0.35">
      <c r="A3" s="1">
        <v>16</v>
      </c>
      <c r="B3" s="1">
        <v>1</v>
      </c>
      <c r="C3" s="1" t="s">
        <v>23</v>
      </c>
      <c r="D3" s="1"/>
      <c r="E3" s="1"/>
      <c r="F3" s="1" t="s">
        <v>21</v>
      </c>
      <c r="G3" s="1">
        <v>61</v>
      </c>
      <c r="H3" s="3">
        <v>45967.733043981483</v>
      </c>
      <c r="I3" s="3">
        <v>45967.769548611112</v>
      </c>
      <c r="J3" s="1">
        <v>0</v>
      </c>
      <c r="K3" s="1" t="s">
        <v>21</v>
      </c>
      <c r="L3" s="1" t="s">
        <v>21</v>
      </c>
      <c r="M3" s="1"/>
      <c r="N3" s="1">
        <v>0</v>
      </c>
      <c r="O3" s="1"/>
      <c r="P3" s="1"/>
      <c r="Q3" s="1" t="s">
        <v>21</v>
      </c>
      <c r="R3" s="1" t="s">
        <v>24</v>
      </c>
      <c r="S3" s="1"/>
      <c r="T3" s="1" t="s">
        <v>21</v>
      </c>
    </row>
    <row r="4" spans="1:20" ht="72.5" x14ac:dyDescent="0.35">
      <c r="A4" s="1">
        <v>19</v>
      </c>
      <c r="B4" s="1">
        <v>1</v>
      </c>
      <c r="C4" s="1" t="s">
        <v>25</v>
      </c>
      <c r="D4" s="1"/>
      <c r="E4" s="1"/>
      <c r="F4" s="1" t="s">
        <v>21</v>
      </c>
      <c r="G4" s="1">
        <v>63</v>
      </c>
      <c r="H4" s="3">
        <v>45967.732835648145</v>
      </c>
      <c r="I4" s="3">
        <v>45967.769548611112</v>
      </c>
      <c r="J4" s="1">
        <v>0</v>
      </c>
      <c r="K4" s="1" t="s">
        <v>21</v>
      </c>
      <c r="L4" s="1" t="s">
        <v>21</v>
      </c>
      <c r="M4" s="1"/>
      <c r="N4" s="1">
        <v>0</v>
      </c>
      <c r="O4" s="1"/>
      <c r="P4" s="1"/>
      <c r="Q4" s="1" t="s">
        <v>21</v>
      </c>
      <c r="R4" s="1" t="s">
        <v>26</v>
      </c>
      <c r="S4" s="1"/>
      <c r="T4" s="1" t="s">
        <v>21</v>
      </c>
    </row>
    <row r="5" spans="1:20" ht="72.5" x14ac:dyDescent="0.35">
      <c r="A5" s="1">
        <v>388</v>
      </c>
      <c r="B5" s="1">
        <v>1</v>
      </c>
      <c r="C5" s="1" t="s">
        <v>27</v>
      </c>
      <c r="D5" s="1"/>
      <c r="E5" s="1"/>
      <c r="F5" s="1" t="s">
        <v>21</v>
      </c>
      <c r="G5" s="1">
        <v>648</v>
      </c>
      <c r="H5" s="3">
        <v>45967.762569444443</v>
      </c>
      <c r="I5" s="3">
        <v>45967.769548611112</v>
      </c>
      <c r="J5" s="1">
        <v>0</v>
      </c>
      <c r="K5" s="1" t="s">
        <v>21</v>
      </c>
      <c r="L5" s="1" t="s">
        <v>21</v>
      </c>
      <c r="M5" s="1"/>
      <c r="N5" s="1">
        <v>0</v>
      </c>
      <c r="O5" s="1"/>
      <c r="P5" s="1"/>
      <c r="Q5" s="1" t="s">
        <v>21</v>
      </c>
      <c r="R5" s="1" t="s">
        <v>28</v>
      </c>
      <c r="S5" s="1"/>
      <c r="T5" s="1" t="s">
        <v>21</v>
      </c>
    </row>
    <row r="6" spans="1:20" ht="72.5" x14ac:dyDescent="0.35">
      <c r="A6" s="1">
        <v>391</v>
      </c>
      <c r="B6" s="1">
        <v>1</v>
      </c>
      <c r="C6" s="1" t="s">
        <v>29</v>
      </c>
      <c r="D6" s="1"/>
      <c r="E6" s="1"/>
      <c r="F6" s="1" t="s">
        <v>21</v>
      </c>
      <c r="G6" s="1">
        <v>650</v>
      </c>
      <c r="H6" s="3">
        <v>45967.762812499997</v>
      </c>
      <c r="I6" s="3">
        <v>45967.769548611112</v>
      </c>
      <c r="J6" s="1">
        <v>0</v>
      </c>
      <c r="K6" s="1" t="s">
        <v>21</v>
      </c>
      <c r="L6" s="1" t="s">
        <v>21</v>
      </c>
      <c r="M6" s="1"/>
      <c r="N6" s="1">
        <v>0</v>
      </c>
      <c r="O6" s="1"/>
      <c r="P6" s="1"/>
      <c r="Q6" s="1" t="s">
        <v>21</v>
      </c>
      <c r="R6" s="1" t="s">
        <v>30</v>
      </c>
      <c r="S6" s="1"/>
      <c r="T6" s="1" t="s">
        <v>21</v>
      </c>
    </row>
    <row r="7" spans="1:20" ht="101.5" x14ac:dyDescent="0.35">
      <c r="A7" s="1">
        <v>394</v>
      </c>
      <c r="B7" s="1">
        <v>1</v>
      </c>
      <c r="C7" s="1" t="s">
        <v>31</v>
      </c>
      <c r="D7" s="1"/>
      <c r="E7" s="1"/>
      <c r="F7" s="1" t="s">
        <v>32</v>
      </c>
      <c r="G7" s="1">
        <v>652</v>
      </c>
      <c r="H7" s="3">
        <v>45967.761944444443</v>
      </c>
      <c r="I7" s="3">
        <v>45967.761944444443</v>
      </c>
      <c r="J7" s="1">
        <v>2</v>
      </c>
      <c r="K7" s="1" t="s">
        <v>21</v>
      </c>
      <c r="L7" s="1" t="s">
        <v>32</v>
      </c>
      <c r="M7" s="1"/>
      <c r="N7" s="1">
        <v>0</v>
      </c>
      <c r="O7" s="1"/>
      <c r="P7" s="1"/>
      <c r="Q7" s="1" t="s">
        <v>21</v>
      </c>
      <c r="R7" s="1" t="s">
        <v>33</v>
      </c>
      <c r="S7" s="1"/>
      <c r="T7" s="1" t="s">
        <v>21</v>
      </c>
    </row>
    <row r="8" spans="1:20" ht="87" x14ac:dyDescent="0.35">
      <c r="A8" s="1">
        <v>397</v>
      </c>
      <c r="B8" s="1">
        <v>1</v>
      </c>
      <c r="C8" s="1" t="s">
        <v>34</v>
      </c>
      <c r="D8" s="1"/>
      <c r="E8" s="1"/>
      <c r="F8" s="1" t="s">
        <v>32</v>
      </c>
      <c r="G8" s="1">
        <v>654</v>
      </c>
      <c r="H8" s="3">
        <v>45967.761944444443</v>
      </c>
      <c r="I8" s="3">
        <v>45967.761944444443</v>
      </c>
      <c r="J8" s="1">
        <v>2</v>
      </c>
      <c r="K8" s="1" t="s">
        <v>32</v>
      </c>
      <c r="L8" s="1" t="s">
        <v>21</v>
      </c>
      <c r="M8" s="1"/>
      <c r="N8" s="1">
        <v>0</v>
      </c>
      <c r="O8" s="1"/>
      <c r="P8" s="1"/>
      <c r="Q8" s="1" t="s">
        <v>21</v>
      </c>
      <c r="R8" s="1" t="s">
        <v>35</v>
      </c>
      <c r="S8" s="1"/>
      <c r="T8" s="1" t="s">
        <v>21</v>
      </c>
    </row>
    <row r="9" spans="1:20" ht="72.5" x14ac:dyDescent="0.35">
      <c r="A9" s="1">
        <v>400</v>
      </c>
      <c r="B9" s="1">
        <v>1</v>
      </c>
      <c r="C9" s="1" t="s">
        <v>36</v>
      </c>
      <c r="D9" s="1"/>
      <c r="E9" s="1"/>
      <c r="F9" s="1" t="s">
        <v>21</v>
      </c>
      <c r="G9" s="1">
        <v>656</v>
      </c>
      <c r="H9" s="3">
        <v>45967.763495370367</v>
      </c>
      <c r="I9" s="3">
        <v>45967.769548611112</v>
      </c>
      <c r="J9" s="1">
        <v>0</v>
      </c>
      <c r="K9" s="1" t="s">
        <v>21</v>
      </c>
      <c r="L9" s="1" t="s">
        <v>21</v>
      </c>
      <c r="M9" s="1"/>
      <c r="N9" s="1">
        <v>0</v>
      </c>
      <c r="O9" s="1"/>
      <c r="P9" s="1"/>
      <c r="Q9" s="1" t="s">
        <v>21</v>
      </c>
      <c r="R9" s="1" t="s">
        <v>37</v>
      </c>
      <c r="S9" s="1"/>
      <c r="T9" s="1" t="s">
        <v>21</v>
      </c>
    </row>
    <row r="10" spans="1:20" ht="72.5" x14ac:dyDescent="0.35">
      <c r="A10" s="1">
        <v>403</v>
      </c>
      <c r="B10" s="1">
        <v>1</v>
      </c>
      <c r="C10" s="1" t="s">
        <v>38</v>
      </c>
      <c r="D10" s="1"/>
      <c r="E10" s="1"/>
      <c r="F10" s="1" t="s">
        <v>21</v>
      </c>
      <c r="G10" s="1">
        <v>658</v>
      </c>
      <c r="H10" s="3">
        <v>45967.763078703705</v>
      </c>
      <c r="I10" s="3">
        <v>45967.769548611112</v>
      </c>
      <c r="J10" s="1">
        <v>0</v>
      </c>
      <c r="K10" s="1" t="s">
        <v>21</v>
      </c>
      <c r="L10" s="1" t="s">
        <v>21</v>
      </c>
      <c r="M10" s="1"/>
      <c r="N10" s="1">
        <v>0</v>
      </c>
      <c r="O10" s="1"/>
      <c r="P10" s="1"/>
      <c r="Q10" s="1" t="s">
        <v>21</v>
      </c>
      <c r="R10" s="1" t="s">
        <v>39</v>
      </c>
      <c r="S10" s="1"/>
      <c r="T10" s="1" t="s">
        <v>21</v>
      </c>
    </row>
    <row r="11" spans="1:20" ht="72.5" x14ac:dyDescent="0.35">
      <c r="A11" s="1">
        <v>406</v>
      </c>
      <c r="B11" s="1">
        <v>1</v>
      </c>
      <c r="C11" s="1" t="s">
        <v>40</v>
      </c>
      <c r="D11" s="1"/>
      <c r="E11" s="1"/>
      <c r="F11" s="1" t="s">
        <v>21</v>
      </c>
      <c r="G11" s="1">
        <v>660</v>
      </c>
      <c r="H11" s="3">
        <v>45967.76326388889</v>
      </c>
      <c r="I11" s="3">
        <v>45967.769548611112</v>
      </c>
      <c r="J11" s="1">
        <v>0</v>
      </c>
      <c r="K11" s="1" t="s">
        <v>21</v>
      </c>
      <c r="L11" s="1" t="s">
        <v>21</v>
      </c>
      <c r="M11" s="1"/>
      <c r="N11" s="1">
        <v>0</v>
      </c>
      <c r="O11" s="1"/>
      <c r="P11" s="1"/>
      <c r="Q11" s="1" t="s">
        <v>21</v>
      </c>
      <c r="R11" s="1" t="s">
        <v>41</v>
      </c>
      <c r="S11" s="1"/>
      <c r="T11" s="1" t="s">
        <v>21</v>
      </c>
    </row>
    <row r="12" spans="1:20" ht="87" x14ac:dyDescent="0.35">
      <c r="A12" s="1">
        <v>409</v>
      </c>
      <c r="B12" s="1">
        <v>1</v>
      </c>
      <c r="C12" s="1" t="s">
        <v>42</v>
      </c>
      <c r="D12" s="1"/>
      <c r="E12" s="1"/>
      <c r="F12" s="1" t="s">
        <v>32</v>
      </c>
      <c r="G12" s="1">
        <v>662</v>
      </c>
      <c r="H12" s="3">
        <v>45967.761944444443</v>
      </c>
      <c r="I12" s="3">
        <v>45967.761944444443</v>
      </c>
      <c r="J12" s="1">
        <v>2</v>
      </c>
      <c r="K12" s="1" t="s">
        <v>32</v>
      </c>
      <c r="L12" s="1" t="s">
        <v>21</v>
      </c>
      <c r="M12" s="1"/>
      <c r="N12" s="1">
        <v>0</v>
      </c>
      <c r="O12" s="1"/>
      <c r="P12" s="1"/>
      <c r="Q12" s="1" t="s">
        <v>21</v>
      </c>
      <c r="R12" s="1" t="s">
        <v>43</v>
      </c>
      <c r="S12" s="1"/>
      <c r="T12" s="1" t="s">
        <v>21</v>
      </c>
    </row>
    <row r="13" spans="1:20" ht="87" x14ac:dyDescent="0.35">
      <c r="A13" s="1">
        <v>412</v>
      </c>
      <c r="B13" s="1">
        <v>1</v>
      </c>
      <c r="C13" s="1" t="s">
        <v>44</v>
      </c>
      <c r="D13" s="1"/>
      <c r="E13" s="1"/>
      <c r="F13" s="1" t="s">
        <v>32</v>
      </c>
      <c r="G13" s="1">
        <v>664</v>
      </c>
      <c r="H13" s="3">
        <v>45967.761944444443</v>
      </c>
      <c r="I13" s="3">
        <v>45967.761944444443</v>
      </c>
      <c r="J13" s="1">
        <v>2</v>
      </c>
      <c r="K13" s="1" t="s">
        <v>32</v>
      </c>
      <c r="L13" s="1" t="s">
        <v>21</v>
      </c>
      <c r="M13" s="1"/>
      <c r="N13" s="1">
        <v>0</v>
      </c>
      <c r="O13" s="1"/>
      <c r="P13" s="1"/>
      <c r="Q13" s="1" t="s">
        <v>21</v>
      </c>
      <c r="R13" s="1" t="s">
        <v>45</v>
      </c>
      <c r="S13" s="1"/>
      <c r="T13" s="1" t="s">
        <v>21</v>
      </c>
    </row>
    <row r="14" spans="1:20" ht="72.5" x14ac:dyDescent="0.35">
      <c r="A14" s="1">
        <v>415</v>
      </c>
      <c r="B14" s="1">
        <v>1</v>
      </c>
      <c r="C14" s="1" t="s">
        <v>46</v>
      </c>
      <c r="D14" s="1"/>
      <c r="E14" s="1"/>
      <c r="F14" s="1" t="s">
        <v>21</v>
      </c>
      <c r="G14" s="1">
        <v>666</v>
      </c>
      <c r="H14" s="3">
        <v>45967.763784722221</v>
      </c>
      <c r="I14" s="3">
        <v>45967.769548611112</v>
      </c>
      <c r="J14" s="1">
        <v>0</v>
      </c>
      <c r="K14" s="1" t="s">
        <v>21</v>
      </c>
      <c r="L14" s="1" t="s">
        <v>21</v>
      </c>
      <c r="M14" s="1"/>
      <c r="N14" s="1">
        <v>0</v>
      </c>
      <c r="O14" s="1"/>
      <c r="P14" s="1"/>
      <c r="Q14" s="1" t="s">
        <v>21</v>
      </c>
      <c r="R14" s="1" t="s">
        <v>47</v>
      </c>
      <c r="S14" s="1"/>
      <c r="T14" s="1" t="s">
        <v>21</v>
      </c>
    </row>
    <row r="15" spans="1:20" ht="72.5" x14ac:dyDescent="0.35">
      <c r="A15" s="1">
        <v>418</v>
      </c>
      <c r="B15" s="1">
        <v>1</v>
      </c>
      <c r="C15" s="1" t="s">
        <v>48</v>
      </c>
      <c r="D15" s="1"/>
      <c r="E15" s="1"/>
      <c r="F15" s="1" t="s">
        <v>21</v>
      </c>
      <c r="G15" s="1">
        <v>668</v>
      </c>
      <c r="H15" s="3">
        <v>45967.762337962966</v>
      </c>
      <c r="I15" s="3">
        <v>45967.769548611112</v>
      </c>
      <c r="J15" s="1">
        <v>0</v>
      </c>
      <c r="K15" s="1" t="s">
        <v>21</v>
      </c>
      <c r="L15" s="1" t="s">
        <v>21</v>
      </c>
      <c r="M15" s="1"/>
      <c r="N15" s="1">
        <v>0</v>
      </c>
      <c r="O15" s="1"/>
      <c r="P15" s="1"/>
      <c r="Q15" s="1" t="s">
        <v>21</v>
      </c>
      <c r="R15" s="1" t="s">
        <v>49</v>
      </c>
      <c r="S15" s="1"/>
      <c r="T15" s="1" t="s">
        <v>21</v>
      </c>
    </row>
    <row r="16" spans="1:20" ht="72.5" x14ac:dyDescent="0.35">
      <c r="A16" s="1">
        <v>3734</v>
      </c>
      <c r="B16" s="1">
        <v>1</v>
      </c>
      <c r="C16" s="1" t="s">
        <v>50</v>
      </c>
      <c r="D16" s="1"/>
      <c r="E16" s="1"/>
      <c r="F16" s="1" t="s">
        <v>21</v>
      </c>
      <c r="G16" s="1">
        <v>4548</v>
      </c>
      <c r="H16" s="3">
        <v>45967.783067129632</v>
      </c>
      <c r="I16" s="3">
        <v>45967.783067129632</v>
      </c>
      <c r="J16" s="1">
        <v>0</v>
      </c>
      <c r="K16" s="1" t="s">
        <v>21</v>
      </c>
      <c r="L16" s="1" t="s">
        <v>21</v>
      </c>
      <c r="M16" s="1"/>
      <c r="N16" s="1">
        <v>0</v>
      </c>
      <c r="O16" s="1"/>
      <c r="P16" s="1"/>
      <c r="Q16" s="1" t="s">
        <v>21</v>
      </c>
      <c r="R16" s="1" t="s">
        <v>51</v>
      </c>
      <c r="S16" s="1"/>
      <c r="T16" s="1" t="s">
        <v>21</v>
      </c>
    </row>
    <row r="17" spans="1:20" ht="72.5" x14ac:dyDescent="0.35">
      <c r="A17" s="1">
        <v>3740</v>
      </c>
      <c r="B17" s="1">
        <v>1</v>
      </c>
      <c r="C17" s="1" t="s">
        <v>52</v>
      </c>
      <c r="D17" s="1"/>
      <c r="E17" s="1"/>
      <c r="F17" s="1" t="s">
        <v>21</v>
      </c>
      <c r="G17" s="1">
        <v>4552</v>
      </c>
      <c r="H17" s="3">
        <v>45967.783252314817</v>
      </c>
      <c r="I17" s="3">
        <v>45967.783263888887</v>
      </c>
      <c r="J17" s="1">
        <v>0</v>
      </c>
      <c r="K17" s="1" t="s">
        <v>21</v>
      </c>
      <c r="L17" s="1" t="s">
        <v>21</v>
      </c>
      <c r="M17" s="1"/>
      <c r="N17" s="1">
        <v>0</v>
      </c>
      <c r="O17" s="1"/>
      <c r="P17" s="1"/>
      <c r="Q17" s="1" t="s">
        <v>21</v>
      </c>
      <c r="R17" s="1" t="s">
        <v>53</v>
      </c>
      <c r="S17" s="1"/>
      <c r="T17" s="1" t="s">
        <v>21</v>
      </c>
    </row>
    <row r="18" spans="1:20" ht="87" x14ac:dyDescent="0.35">
      <c r="A18" s="1">
        <v>3743</v>
      </c>
      <c r="B18" s="1">
        <v>1</v>
      </c>
      <c r="C18" s="1" t="s">
        <v>54</v>
      </c>
      <c r="D18" s="1"/>
      <c r="E18" s="1"/>
      <c r="F18" s="1" t="s">
        <v>32</v>
      </c>
      <c r="G18" s="1">
        <v>4554</v>
      </c>
      <c r="H18" s="3">
        <v>45967.778090277781</v>
      </c>
      <c r="I18" s="3">
        <v>45967.778090277781</v>
      </c>
      <c r="J18" s="1">
        <v>2</v>
      </c>
      <c r="K18" s="1" t="s">
        <v>32</v>
      </c>
      <c r="L18" s="1" t="s">
        <v>21</v>
      </c>
      <c r="M18" s="1"/>
      <c r="N18" s="1">
        <v>0</v>
      </c>
      <c r="O18" s="1"/>
      <c r="P18" s="1"/>
      <c r="Q18" s="1" t="s">
        <v>21</v>
      </c>
      <c r="R18" s="1" t="s">
        <v>55</v>
      </c>
      <c r="S18" s="1"/>
      <c r="T18" s="1" t="s">
        <v>21</v>
      </c>
    </row>
    <row r="19" spans="1:20" ht="87" x14ac:dyDescent="0.35">
      <c r="A19" s="1">
        <v>3749</v>
      </c>
      <c r="B19" s="1">
        <v>1</v>
      </c>
      <c r="C19" s="1" t="s">
        <v>56</v>
      </c>
      <c r="D19" s="1"/>
      <c r="E19" s="1"/>
      <c r="F19" s="1" t="s">
        <v>32</v>
      </c>
      <c r="G19" s="1">
        <v>4558</v>
      </c>
      <c r="H19" s="3">
        <v>45967.778090277781</v>
      </c>
      <c r="I19" s="3">
        <v>45967.778090277781</v>
      </c>
      <c r="J19" s="1">
        <v>2</v>
      </c>
      <c r="K19" s="1" t="s">
        <v>32</v>
      </c>
      <c r="L19" s="1" t="s">
        <v>21</v>
      </c>
      <c r="M19" s="1"/>
      <c r="N19" s="1">
        <v>0</v>
      </c>
      <c r="O19" s="1"/>
      <c r="P19" s="1"/>
      <c r="Q19" s="1" t="s">
        <v>21</v>
      </c>
      <c r="R19" s="1" t="s">
        <v>57</v>
      </c>
      <c r="S19" s="1"/>
      <c r="T19" s="1" t="s">
        <v>21</v>
      </c>
    </row>
    <row r="20" spans="1:20" ht="72.5" x14ac:dyDescent="0.35">
      <c r="A20" s="1">
        <v>3752</v>
      </c>
      <c r="B20" s="1">
        <v>1</v>
      </c>
      <c r="C20" s="1" t="s">
        <v>58</v>
      </c>
      <c r="D20" s="1"/>
      <c r="E20" s="1"/>
      <c r="F20" s="1" t="s">
        <v>21</v>
      </c>
      <c r="G20" s="1">
        <v>4560</v>
      </c>
      <c r="H20" s="3">
        <v>45967.783530092594</v>
      </c>
      <c r="I20" s="3">
        <v>45967.783541666664</v>
      </c>
      <c r="J20" s="1">
        <v>0</v>
      </c>
      <c r="K20" s="1" t="s">
        <v>21</v>
      </c>
      <c r="L20" s="1" t="s">
        <v>21</v>
      </c>
      <c r="M20" s="1"/>
      <c r="N20" s="1">
        <v>0</v>
      </c>
      <c r="O20" s="1"/>
      <c r="P20" s="1"/>
      <c r="Q20" s="1" t="s">
        <v>21</v>
      </c>
      <c r="R20" s="1" t="s">
        <v>59</v>
      </c>
      <c r="S20" s="1"/>
      <c r="T20" s="1" t="s">
        <v>21</v>
      </c>
    </row>
    <row r="21" spans="1:20" ht="72.5" x14ac:dyDescent="0.35">
      <c r="A21" s="1">
        <v>3758</v>
      </c>
      <c r="B21" s="1">
        <v>1</v>
      </c>
      <c r="C21" s="1" t="s">
        <v>60</v>
      </c>
      <c r="D21" s="1"/>
      <c r="E21" s="1"/>
      <c r="F21" s="1" t="s">
        <v>21</v>
      </c>
      <c r="G21" s="1">
        <v>4564</v>
      </c>
      <c r="H21" s="3">
        <v>45967.783726851849</v>
      </c>
      <c r="I21" s="3">
        <v>45967.783726851849</v>
      </c>
      <c r="J21" s="1">
        <v>0</v>
      </c>
      <c r="K21" s="1" t="s">
        <v>21</v>
      </c>
      <c r="L21" s="1" t="s">
        <v>21</v>
      </c>
      <c r="M21" s="1"/>
      <c r="N21" s="1">
        <v>0</v>
      </c>
      <c r="O21" s="1"/>
      <c r="P21" s="1"/>
      <c r="Q21" s="1" t="s">
        <v>21</v>
      </c>
      <c r="R21" s="1" t="s">
        <v>61</v>
      </c>
      <c r="S21" s="1"/>
      <c r="T21" s="1" t="s">
        <v>21</v>
      </c>
    </row>
    <row r="22" spans="1:20" ht="72.5" x14ac:dyDescent="0.35">
      <c r="A22" s="1">
        <v>3764</v>
      </c>
      <c r="B22" s="1">
        <v>1</v>
      </c>
      <c r="C22" s="1" t="s">
        <v>62</v>
      </c>
      <c r="D22" s="1"/>
      <c r="E22" s="1"/>
      <c r="F22" s="1" t="s">
        <v>21</v>
      </c>
      <c r="G22" s="1">
        <v>4568</v>
      </c>
      <c r="H22" s="3">
        <v>45967.783888888887</v>
      </c>
      <c r="I22" s="3">
        <v>45967.783888888887</v>
      </c>
      <c r="J22" s="1">
        <v>0</v>
      </c>
      <c r="K22" s="1" t="s">
        <v>21</v>
      </c>
      <c r="L22" s="1" t="s">
        <v>21</v>
      </c>
      <c r="M22" s="1"/>
      <c r="N22" s="1">
        <v>0</v>
      </c>
      <c r="O22" s="1"/>
      <c r="P22" s="1"/>
      <c r="Q22" s="1" t="s">
        <v>21</v>
      </c>
      <c r="R22" s="1" t="s">
        <v>63</v>
      </c>
      <c r="S22" s="1"/>
      <c r="T22" s="1" t="s">
        <v>21</v>
      </c>
    </row>
    <row r="23" spans="1:20" ht="87" x14ac:dyDescent="0.35">
      <c r="A23" s="1">
        <v>3767</v>
      </c>
      <c r="B23" s="1">
        <v>1</v>
      </c>
      <c r="C23" s="1" t="s">
        <v>64</v>
      </c>
      <c r="D23" s="1"/>
      <c r="E23" s="1"/>
      <c r="F23" s="1" t="s">
        <v>32</v>
      </c>
      <c r="G23" s="1">
        <v>4570</v>
      </c>
      <c r="H23" s="3">
        <v>45967.778090277781</v>
      </c>
      <c r="I23" s="3">
        <v>45967.778090277781</v>
      </c>
      <c r="J23" s="1">
        <v>2</v>
      </c>
      <c r="K23" s="1" t="s">
        <v>32</v>
      </c>
      <c r="L23" s="1" t="s">
        <v>21</v>
      </c>
      <c r="M23" s="1"/>
      <c r="N23" s="1">
        <v>0</v>
      </c>
      <c r="O23" s="1"/>
      <c r="P23" s="1"/>
      <c r="Q23" s="1" t="s">
        <v>21</v>
      </c>
      <c r="R23" s="1" t="s">
        <v>65</v>
      </c>
      <c r="S23" s="1"/>
      <c r="T23" s="1" t="s">
        <v>21</v>
      </c>
    </row>
    <row r="24" spans="1:20" ht="87" x14ac:dyDescent="0.35">
      <c r="A24" s="1">
        <v>3770</v>
      </c>
      <c r="B24" s="1">
        <v>1</v>
      </c>
      <c r="C24" s="1" t="s">
        <v>66</v>
      </c>
      <c r="D24" s="1"/>
      <c r="E24" s="1"/>
      <c r="F24" s="1" t="s">
        <v>32</v>
      </c>
      <c r="G24" s="1">
        <v>4572</v>
      </c>
      <c r="H24" s="3">
        <v>45967.778090277781</v>
      </c>
      <c r="I24" s="3">
        <v>45967.778090277781</v>
      </c>
      <c r="J24" s="1">
        <v>2</v>
      </c>
      <c r="K24" s="1" t="s">
        <v>32</v>
      </c>
      <c r="L24" s="1" t="s">
        <v>21</v>
      </c>
      <c r="M24" s="1"/>
      <c r="N24" s="1">
        <v>0</v>
      </c>
      <c r="O24" s="1"/>
      <c r="P24" s="1"/>
      <c r="Q24" s="1" t="s">
        <v>21</v>
      </c>
      <c r="R24" s="1" t="s">
        <v>67</v>
      </c>
      <c r="S24" s="1"/>
      <c r="T24" s="1" t="s">
        <v>21</v>
      </c>
    </row>
    <row r="25" spans="1:20" ht="72.5" x14ac:dyDescent="0.35">
      <c r="A25" s="1">
        <v>3773</v>
      </c>
      <c r="B25" s="1">
        <v>1</v>
      </c>
      <c r="C25" s="1" t="s">
        <v>68</v>
      </c>
      <c r="D25" s="1"/>
      <c r="E25" s="1"/>
      <c r="F25" s="1" t="s">
        <v>21</v>
      </c>
      <c r="G25" s="1">
        <v>4574</v>
      </c>
      <c r="H25" s="3">
        <v>45967.781041666669</v>
      </c>
      <c r="I25" s="3">
        <v>45967.781041666669</v>
      </c>
      <c r="J25" s="1">
        <v>0</v>
      </c>
      <c r="K25" s="1" t="s">
        <v>21</v>
      </c>
      <c r="L25" s="1" t="s">
        <v>21</v>
      </c>
      <c r="M25" s="1"/>
      <c r="N25" s="1">
        <v>0</v>
      </c>
      <c r="O25" s="1"/>
      <c r="P25" s="1"/>
      <c r="Q25" s="1" t="s">
        <v>21</v>
      </c>
      <c r="R25" s="1" t="s">
        <v>69</v>
      </c>
      <c r="S25" s="1"/>
      <c r="T25" s="1" t="s">
        <v>21</v>
      </c>
    </row>
    <row r="26" spans="1:20" ht="72.5" x14ac:dyDescent="0.35">
      <c r="A26" s="1">
        <v>3776</v>
      </c>
      <c r="B26" s="1">
        <v>1</v>
      </c>
      <c r="C26" s="1" t="s">
        <v>70</v>
      </c>
      <c r="D26" s="1"/>
      <c r="E26" s="1"/>
      <c r="F26" s="1" t="s">
        <v>21</v>
      </c>
      <c r="G26" s="1">
        <v>4576</v>
      </c>
      <c r="H26" s="3">
        <v>45967.780624999999</v>
      </c>
      <c r="I26" s="3">
        <v>45967.780624999999</v>
      </c>
      <c r="J26" s="1">
        <v>0</v>
      </c>
      <c r="K26" s="1" t="s">
        <v>21</v>
      </c>
      <c r="L26" s="1" t="s">
        <v>21</v>
      </c>
      <c r="M26" s="1"/>
      <c r="N26" s="1">
        <v>0</v>
      </c>
      <c r="O26" s="1"/>
      <c r="P26" s="1"/>
      <c r="Q26" s="1" t="s">
        <v>21</v>
      </c>
      <c r="R26" s="1" t="s">
        <v>71</v>
      </c>
      <c r="S26" s="1"/>
      <c r="T26" s="1" t="s">
        <v>21</v>
      </c>
    </row>
    <row r="27" spans="1:20" ht="72.5" x14ac:dyDescent="0.35">
      <c r="A27" s="1">
        <v>3779</v>
      </c>
      <c r="B27" s="1">
        <v>1</v>
      </c>
      <c r="C27" s="1" t="s">
        <v>72</v>
      </c>
      <c r="D27" s="1"/>
      <c r="E27" s="1"/>
      <c r="F27" s="1" t="s">
        <v>21</v>
      </c>
      <c r="G27" s="1">
        <v>4578</v>
      </c>
      <c r="H27" s="3">
        <v>45967.779780092591</v>
      </c>
      <c r="I27" s="3">
        <v>45967.779780092591</v>
      </c>
      <c r="J27" s="1">
        <v>0</v>
      </c>
      <c r="K27" s="1" t="s">
        <v>21</v>
      </c>
      <c r="L27" s="1" t="s">
        <v>21</v>
      </c>
      <c r="M27" s="1"/>
      <c r="N27" s="1">
        <v>0</v>
      </c>
      <c r="O27" s="1"/>
      <c r="P27" s="1"/>
      <c r="Q27" s="1" t="s">
        <v>21</v>
      </c>
      <c r="R27" s="1" t="s">
        <v>73</v>
      </c>
      <c r="S27" s="1"/>
      <c r="T27" s="1" t="s">
        <v>21</v>
      </c>
    </row>
    <row r="28" spans="1:20" ht="72.5" x14ac:dyDescent="0.35">
      <c r="A28" s="1">
        <v>3782</v>
      </c>
      <c r="B28" s="1">
        <v>1</v>
      </c>
      <c r="C28" s="1" t="s">
        <v>74</v>
      </c>
      <c r="D28" s="1"/>
      <c r="E28" s="1"/>
      <c r="F28" s="1" t="s">
        <v>21</v>
      </c>
      <c r="G28" s="1">
        <v>4580</v>
      </c>
      <c r="H28" s="3">
        <v>45967.780034722222</v>
      </c>
      <c r="I28" s="3">
        <v>45967.780034722222</v>
      </c>
      <c r="J28" s="1">
        <v>0</v>
      </c>
      <c r="K28" s="1" t="s">
        <v>21</v>
      </c>
      <c r="L28" s="1" t="s">
        <v>21</v>
      </c>
      <c r="M28" s="1"/>
      <c r="N28" s="1">
        <v>0</v>
      </c>
      <c r="O28" s="1"/>
      <c r="P28" s="1"/>
      <c r="Q28" s="1" t="s">
        <v>21</v>
      </c>
      <c r="R28" s="1" t="s">
        <v>75</v>
      </c>
      <c r="S28" s="1"/>
      <c r="T28" s="1" t="s">
        <v>21</v>
      </c>
    </row>
    <row r="29" spans="1:20" ht="72.5" x14ac:dyDescent="0.35">
      <c r="A29" s="1">
        <v>3785</v>
      </c>
      <c r="B29" s="1">
        <v>1</v>
      </c>
      <c r="C29" s="1" t="s">
        <v>76</v>
      </c>
      <c r="D29" s="1"/>
      <c r="E29" s="1"/>
      <c r="F29" s="1" t="s">
        <v>21</v>
      </c>
      <c r="G29" s="1">
        <v>4582</v>
      </c>
      <c r="H29" s="3">
        <v>45967.78020833333</v>
      </c>
      <c r="I29" s="3">
        <v>45967.780219907407</v>
      </c>
      <c r="J29" s="1">
        <v>0</v>
      </c>
      <c r="K29" s="1" t="s">
        <v>21</v>
      </c>
      <c r="L29" s="1" t="s">
        <v>21</v>
      </c>
      <c r="M29" s="1"/>
      <c r="N29" s="1">
        <v>0</v>
      </c>
      <c r="O29" s="1"/>
      <c r="P29" s="1"/>
      <c r="Q29" s="1" t="s">
        <v>21</v>
      </c>
      <c r="R29" s="1" t="s">
        <v>77</v>
      </c>
      <c r="S29" s="1"/>
      <c r="T29" s="1" t="s">
        <v>21</v>
      </c>
    </row>
    <row r="30" spans="1:20" ht="87" x14ac:dyDescent="0.35">
      <c r="A30" s="1">
        <v>3788</v>
      </c>
      <c r="B30" s="1">
        <v>1</v>
      </c>
      <c r="C30" s="1" t="s">
        <v>78</v>
      </c>
      <c r="D30" s="1"/>
      <c r="E30" s="1"/>
      <c r="F30" s="1" t="s">
        <v>32</v>
      </c>
      <c r="G30" s="1">
        <v>4584</v>
      </c>
      <c r="H30" s="3">
        <v>45967.778090277781</v>
      </c>
      <c r="I30" s="3">
        <v>45967.778090277781</v>
      </c>
      <c r="J30" s="1">
        <v>2</v>
      </c>
      <c r="K30" s="1" t="s">
        <v>32</v>
      </c>
      <c r="L30" s="1" t="s">
        <v>21</v>
      </c>
      <c r="M30" s="1"/>
      <c r="N30" s="1">
        <v>0</v>
      </c>
      <c r="O30" s="1"/>
      <c r="P30" s="1"/>
      <c r="Q30" s="1" t="s">
        <v>21</v>
      </c>
      <c r="R30" s="1" t="s">
        <v>79</v>
      </c>
      <c r="S30" s="1"/>
      <c r="T30" s="1" t="s">
        <v>21</v>
      </c>
    </row>
    <row r="31" spans="1:20" ht="87" x14ac:dyDescent="0.35">
      <c r="A31" s="1">
        <v>3791</v>
      </c>
      <c r="B31" s="1">
        <v>1</v>
      </c>
      <c r="C31" s="1" t="s">
        <v>80</v>
      </c>
      <c r="D31" s="1"/>
      <c r="E31" s="1"/>
      <c r="F31" s="1" t="s">
        <v>32</v>
      </c>
      <c r="G31" s="1">
        <v>4586</v>
      </c>
      <c r="H31" s="3">
        <v>45967.778090277781</v>
      </c>
      <c r="I31" s="3">
        <v>45967.778090277781</v>
      </c>
      <c r="J31" s="1">
        <v>2</v>
      </c>
      <c r="K31" s="1" t="s">
        <v>32</v>
      </c>
      <c r="L31" s="1" t="s">
        <v>21</v>
      </c>
      <c r="M31" s="1"/>
      <c r="N31" s="1">
        <v>0</v>
      </c>
      <c r="O31" s="1"/>
      <c r="P31" s="1"/>
      <c r="Q31" s="1" t="s">
        <v>21</v>
      </c>
      <c r="R31" s="1" t="s">
        <v>81</v>
      </c>
      <c r="S31" s="1"/>
      <c r="T31" s="1" t="s">
        <v>21</v>
      </c>
    </row>
    <row r="32" spans="1:20" ht="72.5" x14ac:dyDescent="0.35">
      <c r="A32" s="1">
        <v>3800</v>
      </c>
      <c r="B32" s="1">
        <v>1</v>
      </c>
      <c r="C32" s="1" t="s">
        <v>82</v>
      </c>
      <c r="D32" s="1"/>
      <c r="E32" s="1"/>
      <c r="F32" s="1" t="s">
        <v>21</v>
      </c>
      <c r="G32" s="1">
        <v>4592</v>
      </c>
      <c r="H32" s="3">
        <v>45967.780428240738</v>
      </c>
      <c r="I32" s="3">
        <v>45967.780439814815</v>
      </c>
      <c r="J32" s="1">
        <v>0</v>
      </c>
      <c r="K32" s="1" t="s">
        <v>21</v>
      </c>
      <c r="L32" s="1" t="s">
        <v>21</v>
      </c>
      <c r="M32" s="1"/>
      <c r="N32" s="1">
        <v>0</v>
      </c>
      <c r="O32" s="1"/>
      <c r="P32" s="1"/>
      <c r="Q32" s="1" t="s">
        <v>21</v>
      </c>
      <c r="R32" s="1" t="s">
        <v>83</v>
      </c>
      <c r="S32" s="1"/>
      <c r="T32" s="1" t="s">
        <v>21</v>
      </c>
    </row>
    <row r="33" spans="1:20" ht="72.5" x14ac:dyDescent="0.35">
      <c r="A33" s="1">
        <v>3803</v>
      </c>
      <c r="B33" s="1">
        <v>1</v>
      </c>
      <c r="C33" s="1" t="s">
        <v>84</v>
      </c>
      <c r="D33" s="1"/>
      <c r="E33" s="1"/>
      <c r="F33" s="1" t="s">
        <v>21</v>
      </c>
      <c r="G33" s="1">
        <v>4594</v>
      </c>
      <c r="H33" s="3">
        <v>45967.782696759263</v>
      </c>
      <c r="I33" s="3">
        <v>45967.782696759263</v>
      </c>
      <c r="J33" s="1">
        <v>0</v>
      </c>
      <c r="K33" s="1" t="s">
        <v>21</v>
      </c>
      <c r="L33" s="1" t="s">
        <v>21</v>
      </c>
      <c r="M33" s="1"/>
      <c r="N33" s="1">
        <v>0</v>
      </c>
      <c r="O33" s="1"/>
      <c r="P33" s="1"/>
      <c r="Q33" s="1" t="s">
        <v>21</v>
      </c>
      <c r="R33" s="1" t="s">
        <v>85</v>
      </c>
      <c r="S33" s="1"/>
      <c r="T33" s="1" t="s">
        <v>21</v>
      </c>
    </row>
    <row r="34" spans="1:20" ht="72.5" x14ac:dyDescent="0.35">
      <c r="A34" s="1">
        <v>3809</v>
      </c>
      <c r="B34" s="1">
        <v>1</v>
      </c>
      <c r="C34" s="1" t="s">
        <v>86</v>
      </c>
      <c r="D34" s="1"/>
      <c r="E34" s="1"/>
      <c r="F34" s="1" t="s">
        <v>21</v>
      </c>
      <c r="G34" s="1">
        <v>4598</v>
      </c>
      <c r="H34" s="3">
        <v>45967.782905092594</v>
      </c>
      <c r="I34" s="3">
        <v>45967.782905092594</v>
      </c>
      <c r="J34" s="1">
        <v>0</v>
      </c>
      <c r="K34" s="1" t="s">
        <v>21</v>
      </c>
      <c r="L34" s="1" t="s">
        <v>21</v>
      </c>
      <c r="M34" s="1"/>
      <c r="N34" s="1">
        <v>0</v>
      </c>
      <c r="O34" s="1"/>
      <c r="P34" s="1"/>
      <c r="Q34" s="1" t="s">
        <v>21</v>
      </c>
      <c r="R34" s="1" t="s">
        <v>87</v>
      </c>
      <c r="S34" s="1"/>
      <c r="T34" s="1" t="s">
        <v>21</v>
      </c>
    </row>
    <row r="35" spans="1:20" ht="72.5" x14ac:dyDescent="0.35">
      <c r="A35" s="1">
        <v>10118</v>
      </c>
      <c r="B35" s="1">
        <v>1</v>
      </c>
      <c r="C35" s="1" t="s">
        <v>88</v>
      </c>
      <c r="D35" s="1"/>
      <c r="E35" s="1"/>
      <c r="F35" s="1" t="s">
        <v>21</v>
      </c>
      <c r="G35" s="1">
        <v>10132</v>
      </c>
      <c r="H35" s="3">
        <v>45967.786759259259</v>
      </c>
      <c r="I35" s="3">
        <v>45967.786770833336</v>
      </c>
      <c r="J35" s="1">
        <v>0</v>
      </c>
      <c r="K35" s="1" t="s">
        <v>21</v>
      </c>
      <c r="L35" s="1" t="s">
        <v>21</v>
      </c>
      <c r="M35" s="1"/>
      <c r="N35" s="1">
        <v>0</v>
      </c>
      <c r="O35" s="1"/>
      <c r="P35" s="1"/>
      <c r="Q35" s="1" t="s">
        <v>21</v>
      </c>
      <c r="R35" s="1" t="s">
        <v>89</v>
      </c>
      <c r="S35" s="1"/>
      <c r="T35" s="1" t="s">
        <v>21</v>
      </c>
    </row>
    <row r="36" spans="1:20" ht="72.5" x14ac:dyDescent="0.35">
      <c r="A36" s="1">
        <v>10232</v>
      </c>
      <c r="B36" s="1">
        <v>1</v>
      </c>
      <c r="C36" s="1" t="s">
        <v>90</v>
      </c>
      <c r="D36" s="1"/>
      <c r="E36" s="1"/>
      <c r="F36" s="1" t="s">
        <v>21</v>
      </c>
      <c r="G36" s="1">
        <v>10238</v>
      </c>
      <c r="H36" s="3">
        <v>45967.795960648145</v>
      </c>
      <c r="I36" s="3">
        <v>45969.784085648149</v>
      </c>
      <c r="J36" s="1">
        <v>2</v>
      </c>
      <c r="K36" s="1" t="s">
        <v>21</v>
      </c>
      <c r="L36" s="1" t="s">
        <v>21</v>
      </c>
      <c r="M36" s="1"/>
      <c r="N36" s="1">
        <v>0</v>
      </c>
      <c r="O36" s="1"/>
      <c r="P36" s="1"/>
      <c r="Q36" s="1" t="s">
        <v>21</v>
      </c>
      <c r="R36" s="1" t="s">
        <v>91</v>
      </c>
      <c r="S36" s="1"/>
      <c r="T36" s="1" t="s">
        <v>21</v>
      </c>
    </row>
    <row r="37" spans="1:20" ht="87" x14ac:dyDescent="0.35">
      <c r="A37" s="1">
        <v>10352</v>
      </c>
      <c r="B37" s="1">
        <v>1</v>
      </c>
      <c r="C37" s="1" t="s">
        <v>92</v>
      </c>
      <c r="D37" s="1"/>
      <c r="E37" s="1"/>
      <c r="F37" s="1" t="s">
        <v>32</v>
      </c>
      <c r="G37" s="1">
        <v>10482</v>
      </c>
      <c r="H37" s="3">
        <v>45967.795972222222</v>
      </c>
      <c r="I37" s="3">
        <v>45967.795960648145</v>
      </c>
      <c r="J37" s="1">
        <v>2</v>
      </c>
      <c r="K37" s="1" t="s">
        <v>32</v>
      </c>
      <c r="L37" s="1" t="s">
        <v>21</v>
      </c>
      <c r="M37" s="1"/>
      <c r="N37" s="1">
        <v>0</v>
      </c>
      <c r="O37" s="1"/>
      <c r="P37" s="1"/>
      <c r="Q37" s="1" t="s">
        <v>21</v>
      </c>
      <c r="R37" s="1" t="s">
        <v>93</v>
      </c>
      <c r="S37" s="1"/>
      <c r="T37" s="1" t="s">
        <v>21</v>
      </c>
    </row>
    <row r="38" spans="1:20" ht="87" x14ac:dyDescent="0.35">
      <c r="A38" s="1">
        <v>10355</v>
      </c>
      <c r="B38" s="1">
        <v>1</v>
      </c>
      <c r="C38" s="1" t="s">
        <v>94</v>
      </c>
      <c r="D38" s="1"/>
      <c r="E38" s="1"/>
      <c r="F38" s="1" t="s">
        <v>32</v>
      </c>
      <c r="G38" s="1">
        <v>10484</v>
      </c>
      <c r="H38" s="3">
        <v>45967.795972222222</v>
      </c>
      <c r="I38" s="3">
        <v>45967.795960648145</v>
      </c>
      <c r="J38" s="1">
        <v>2</v>
      </c>
      <c r="K38" s="1" t="s">
        <v>32</v>
      </c>
      <c r="L38" s="1" t="s">
        <v>21</v>
      </c>
      <c r="M38" s="1"/>
      <c r="N38" s="1">
        <v>0</v>
      </c>
      <c r="O38" s="1"/>
      <c r="P38" s="1"/>
      <c r="Q38" s="1" t="s">
        <v>21</v>
      </c>
      <c r="R38" s="1" t="s">
        <v>95</v>
      </c>
      <c r="S38" s="1"/>
      <c r="T38" s="1" t="s">
        <v>21</v>
      </c>
    </row>
    <row r="39" spans="1:20" ht="87" x14ac:dyDescent="0.35">
      <c r="A39" s="1">
        <v>10358</v>
      </c>
      <c r="B39" s="1">
        <v>1</v>
      </c>
      <c r="C39" s="1" t="s">
        <v>96</v>
      </c>
      <c r="D39" s="1"/>
      <c r="E39" s="1"/>
      <c r="F39" s="1" t="s">
        <v>32</v>
      </c>
      <c r="G39" s="1">
        <v>10486</v>
      </c>
      <c r="H39" s="3">
        <v>45967.795972222222</v>
      </c>
      <c r="I39" s="3">
        <v>45967.795960648145</v>
      </c>
      <c r="J39" s="1">
        <v>2</v>
      </c>
      <c r="K39" s="1" t="s">
        <v>32</v>
      </c>
      <c r="L39" s="1" t="s">
        <v>21</v>
      </c>
      <c r="M39" s="1"/>
      <c r="N39" s="1">
        <v>0</v>
      </c>
      <c r="O39" s="1"/>
      <c r="P39" s="1"/>
      <c r="Q39" s="1" t="s">
        <v>21</v>
      </c>
      <c r="R39" s="1" t="s">
        <v>97</v>
      </c>
      <c r="S39" s="1"/>
      <c r="T39" s="1" t="s">
        <v>21</v>
      </c>
    </row>
    <row r="40" spans="1:20" ht="72.5" x14ac:dyDescent="0.35">
      <c r="A40" s="1">
        <v>11635</v>
      </c>
      <c r="B40" s="1">
        <v>1</v>
      </c>
      <c r="C40" s="1" t="s">
        <v>98</v>
      </c>
      <c r="D40" s="1"/>
      <c r="E40" s="1"/>
      <c r="F40" s="1" t="s">
        <v>21</v>
      </c>
      <c r="G40" s="1">
        <v>11761</v>
      </c>
      <c r="H40" s="3">
        <v>45967.870011574072</v>
      </c>
      <c r="I40" s="3">
        <v>45967.870011574072</v>
      </c>
      <c r="J40" s="1">
        <v>0</v>
      </c>
      <c r="K40" s="1" t="s">
        <v>21</v>
      </c>
      <c r="L40" s="1" t="s">
        <v>21</v>
      </c>
      <c r="M40" s="1"/>
      <c r="N40" s="1">
        <v>0</v>
      </c>
      <c r="O40" s="1"/>
      <c r="P40" s="1"/>
      <c r="Q40" s="1" t="s">
        <v>21</v>
      </c>
      <c r="R40" s="1" t="s">
        <v>99</v>
      </c>
      <c r="S40" s="1"/>
      <c r="T40" s="1" t="s">
        <v>21</v>
      </c>
    </row>
    <row r="41" spans="1:20" ht="72.5" x14ac:dyDescent="0.35">
      <c r="A41" s="1">
        <v>11641</v>
      </c>
      <c r="B41" s="1">
        <v>1</v>
      </c>
      <c r="C41" s="1" t="s">
        <v>100</v>
      </c>
      <c r="D41" s="1"/>
      <c r="E41" s="1"/>
      <c r="F41" s="1" t="s">
        <v>21</v>
      </c>
      <c r="G41" s="1">
        <v>11765</v>
      </c>
      <c r="H41" s="3">
        <v>45967.870081018518</v>
      </c>
      <c r="I41" s="3">
        <v>45967.870092592595</v>
      </c>
      <c r="J41" s="1">
        <v>0</v>
      </c>
      <c r="K41" s="1" t="s">
        <v>21</v>
      </c>
      <c r="L41" s="1" t="s">
        <v>21</v>
      </c>
      <c r="M41" s="1"/>
      <c r="N41" s="1">
        <v>0</v>
      </c>
      <c r="O41" s="1"/>
      <c r="P41" s="1"/>
      <c r="Q41" s="1" t="s">
        <v>21</v>
      </c>
      <c r="R41" s="1" t="s">
        <v>101</v>
      </c>
      <c r="S41" s="1"/>
      <c r="T4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814F-266C-4471-81BD-3354C47D3123}">
  <dimension ref="A1:AO263"/>
  <sheetViews>
    <sheetView workbookViewId="0">
      <selection activeCell="C1" sqref="C1"/>
    </sheetView>
  </sheetViews>
  <sheetFormatPr baseColWidth="10" defaultRowHeight="14.5" x14ac:dyDescent="0.35"/>
  <sheetData>
    <row r="1" spans="1:41" x14ac:dyDescent="0.35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3</v>
      </c>
      <c r="H1" t="s">
        <v>4</v>
      </c>
      <c r="I1" t="s">
        <v>5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120</v>
      </c>
      <c r="X1" t="s">
        <v>121</v>
      </c>
      <c r="Y1" t="s">
        <v>122</v>
      </c>
      <c r="Z1" t="s">
        <v>123</v>
      </c>
      <c r="AA1" t="s">
        <v>124</v>
      </c>
      <c r="AB1" t="s">
        <v>7</v>
      </c>
      <c r="AC1" t="s">
        <v>8</v>
      </c>
      <c r="AD1" t="s">
        <v>125</v>
      </c>
      <c r="AE1" t="s">
        <v>9</v>
      </c>
      <c r="AF1" t="s">
        <v>126</v>
      </c>
      <c r="AG1" t="s">
        <v>127</v>
      </c>
      <c r="AH1" t="s">
        <v>128</v>
      </c>
      <c r="AI1" t="s">
        <v>129</v>
      </c>
      <c r="AJ1" t="s">
        <v>130</v>
      </c>
      <c r="AK1" t="s">
        <v>131</v>
      </c>
      <c r="AL1" t="s">
        <v>132</v>
      </c>
      <c r="AM1" t="s">
        <v>133</v>
      </c>
      <c r="AN1" t="s">
        <v>17</v>
      </c>
      <c r="AO1" t="s">
        <v>18</v>
      </c>
    </row>
    <row r="2" spans="1:41" x14ac:dyDescent="0.35">
      <c r="A2">
        <v>14</v>
      </c>
      <c r="B2">
        <v>13</v>
      </c>
      <c r="C2" t="s">
        <v>134</v>
      </c>
      <c r="E2">
        <v>6</v>
      </c>
      <c r="F2">
        <v>19</v>
      </c>
      <c r="I2" t="s">
        <v>32</v>
      </c>
      <c r="J2">
        <v>1</v>
      </c>
      <c r="K2" t="s">
        <v>32</v>
      </c>
      <c r="L2" t="s">
        <v>32</v>
      </c>
      <c r="M2" t="s">
        <v>21</v>
      </c>
      <c r="N2">
        <v>1</v>
      </c>
      <c r="O2">
        <v>-1</v>
      </c>
      <c r="P2" t="s">
        <v>21</v>
      </c>
      <c r="Q2" t="s">
        <v>21</v>
      </c>
      <c r="R2">
        <v>1</v>
      </c>
      <c r="S2">
        <v>74</v>
      </c>
      <c r="T2">
        <v>3</v>
      </c>
      <c r="Y2" t="s">
        <v>32</v>
      </c>
      <c r="AA2">
        <v>15</v>
      </c>
      <c r="AB2" s="2">
        <v>45967.729953703703</v>
      </c>
      <c r="AC2" s="2">
        <v>45967.729953703703</v>
      </c>
      <c r="AD2" t="s">
        <v>135</v>
      </c>
      <c r="AE2">
        <v>0</v>
      </c>
      <c r="AF2" t="s">
        <v>21</v>
      </c>
      <c r="AG2">
        <v>0</v>
      </c>
      <c r="AK2">
        <v>0</v>
      </c>
    </row>
    <row r="3" spans="1:41" x14ac:dyDescent="0.35">
      <c r="A3">
        <v>22</v>
      </c>
      <c r="B3">
        <v>13</v>
      </c>
      <c r="C3" t="s">
        <v>136</v>
      </c>
      <c r="E3">
        <v>2</v>
      </c>
      <c r="F3">
        <v>19</v>
      </c>
      <c r="I3" t="s">
        <v>21</v>
      </c>
      <c r="J3">
        <v>1</v>
      </c>
      <c r="K3" t="s">
        <v>21</v>
      </c>
      <c r="L3" t="s">
        <v>21</v>
      </c>
      <c r="M3" t="s">
        <v>32</v>
      </c>
      <c r="N3">
        <v>1</v>
      </c>
      <c r="O3">
        <v>-1</v>
      </c>
      <c r="P3" t="s">
        <v>21</v>
      </c>
      <c r="Q3" t="s">
        <v>21</v>
      </c>
      <c r="R3">
        <v>2</v>
      </c>
      <c r="S3">
        <v>86</v>
      </c>
      <c r="T3">
        <v>1</v>
      </c>
      <c r="U3" t="s">
        <v>136</v>
      </c>
      <c r="Y3" t="s">
        <v>32</v>
      </c>
      <c r="AA3">
        <v>49</v>
      </c>
      <c r="AB3" s="2">
        <v>45967.729953703703</v>
      </c>
      <c r="AC3" s="2">
        <v>45967.729953703703</v>
      </c>
      <c r="AD3" t="s">
        <v>135</v>
      </c>
      <c r="AE3">
        <v>0</v>
      </c>
      <c r="AF3" t="s">
        <v>21</v>
      </c>
      <c r="AG3">
        <v>0</v>
      </c>
      <c r="AK3">
        <v>0</v>
      </c>
      <c r="AN3" t="s">
        <v>137</v>
      </c>
    </row>
    <row r="4" spans="1:41" x14ac:dyDescent="0.35">
      <c r="A4">
        <v>23</v>
      </c>
      <c r="B4">
        <v>13</v>
      </c>
      <c r="C4" t="s">
        <v>138</v>
      </c>
      <c r="E4">
        <v>2</v>
      </c>
      <c r="F4">
        <v>19</v>
      </c>
      <c r="I4" t="s">
        <v>32</v>
      </c>
      <c r="J4">
        <v>1</v>
      </c>
      <c r="K4" t="s">
        <v>21</v>
      </c>
      <c r="L4" t="s">
        <v>21</v>
      </c>
      <c r="M4" t="s">
        <v>32</v>
      </c>
      <c r="N4">
        <v>1</v>
      </c>
      <c r="O4">
        <v>-1</v>
      </c>
      <c r="P4" t="s">
        <v>21</v>
      </c>
      <c r="Q4" t="s">
        <v>21</v>
      </c>
      <c r="R4">
        <v>2</v>
      </c>
      <c r="S4">
        <v>90</v>
      </c>
      <c r="T4">
        <v>1</v>
      </c>
      <c r="U4" t="s">
        <v>138</v>
      </c>
      <c r="Y4" t="s">
        <v>32</v>
      </c>
      <c r="AA4">
        <v>50</v>
      </c>
      <c r="AB4" s="2">
        <v>45968.727685185186</v>
      </c>
      <c r="AC4" s="2">
        <v>45968.727685185186</v>
      </c>
      <c r="AD4" t="s">
        <v>135</v>
      </c>
      <c r="AE4">
        <v>0</v>
      </c>
      <c r="AF4" t="s">
        <v>21</v>
      </c>
      <c r="AG4">
        <v>0</v>
      </c>
      <c r="AK4">
        <v>0</v>
      </c>
      <c r="AN4" t="s">
        <v>139</v>
      </c>
    </row>
    <row r="5" spans="1:41" x14ac:dyDescent="0.35">
      <c r="A5">
        <v>24</v>
      </c>
      <c r="B5">
        <v>13</v>
      </c>
      <c r="C5" t="s">
        <v>140</v>
      </c>
      <c r="E5">
        <v>2</v>
      </c>
      <c r="F5">
        <v>19</v>
      </c>
      <c r="I5" t="s">
        <v>21</v>
      </c>
      <c r="J5">
        <v>1</v>
      </c>
      <c r="K5" t="s">
        <v>21</v>
      </c>
      <c r="L5" t="s">
        <v>21</v>
      </c>
      <c r="M5" t="s">
        <v>32</v>
      </c>
      <c r="N5">
        <v>1</v>
      </c>
      <c r="O5">
        <v>-1</v>
      </c>
      <c r="P5" t="s">
        <v>21</v>
      </c>
      <c r="Q5" t="s">
        <v>21</v>
      </c>
      <c r="R5">
        <v>2</v>
      </c>
      <c r="S5">
        <v>94</v>
      </c>
      <c r="T5">
        <v>1</v>
      </c>
      <c r="U5" t="s">
        <v>140</v>
      </c>
      <c r="Y5" t="s">
        <v>32</v>
      </c>
      <c r="AA5">
        <v>51</v>
      </c>
      <c r="AB5" s="2">
        <v>45967.729953703703</v>
      </c>
      <c r="AC5" s="2">
        <v>45967.729953703703</v>
      </c>
      <c r="AD5" t="s">
        <v>135</v>
      </c>
      <c r="AE5">
        <v>0</v>
      </c>
      <c r="AF5" t="s">
        <v>21</v>
      </c>
      <c r="AG5">
        <v>0</v>
      </c>
      <c r="AK5">
        <v>0</v>
      </c>
      <c r="AN5" t="s">
        <v>141</v>
      </c>
    </row>
    <row r="6" spans="1:41" x14ac:dyDescent="0.35">
      <c r="A6">
        <v>17</v>
      </c>
      <c r="B6">
        <v>16</v>
      </c>
      <c r="C6" t="s">
        <v>134</v>
      </c>
      <c r="E6">
        <v>6</v>
      </c>
      <c r="F6">
        <v>19</v>
      </c>
      <c r="I6" t="s">
        <v>32</v>
      </c>
      <c r="J6">
        <v>1</v>
      </c>
      <c r="K6" t="s">
        <v>32</v>
      </c>
      <c r="L6" t="s">
        <v>32</v>
      </c>
      <c r="M6" t="s">
        <v>21</v>
      </c>
      <c r="N6">
        <v>1</v>
      </c>
      <c r="O6">
        <v>-1</v>
      </c>
      <c r="P6" t="s">
        <v>21</v>
      </c>
      <c r="Q6" t="s">
        <v>21</v>
      </c>
      <c r="R6">
        <v>1</v>
      </c>
      <c r="S6">
        <v>78</v>
      </c>
      <c r="T6">
        <v>3</v>
      </c>
      <c r="Y6" t="s">
        <v>32</v>
      </c>
      <c r="AA6">
        <v>18</v>
      </c>
      <c r="AB6" s="2">
        <v>45967.729953703703</v>
      </c>
      <c r="AC6" s="2">
        <v>45967.729953703703</v>
      </c>
      <c r="AD6" t="s">
        <v>135</v>
      </c>
      <c r="AE6">
        <v>0</v>
      </c>
      <c r="AF6" t="s">
        <v>21</v>
      </c>
      <c r="AG6">
        <v>0</v>
      </c>
      <c r="AK6">
        <v>0</v>
      </c>
    </row>
    <row r="7" spans="1:41" x14ac:dyDescent="0.35">
      <c r="A7">
        <v>25</v>
      </c>
      <c r="B7">
        <v>16</v>
      </c>
      <c r="C7" t="s">
        <v>136</v>
      </c>
      <c r="E7">
        <v>2</v>
      </c>
      <c r="F7">
        <v>19</v>
      </c>
      <c r="I7" t="s">
        <v>21</v>
      </c>
      <c r="J7">
        <v>1</v>
      </c>
      <c r="K7" t="s">
        <v>21</v>
      </c>
      <c r="L7" t="s">
        <v>21</v>
      </c>
      <c r="M7" t="s">
        <v>32</v>
      </c>
      <c r="N7">
        <v>1</v>
      </c>
      <c r="O7">
        <v>-1</v>
      </c>
      <c r="P7" t="s">
        <v>21</v>
      </c>
      <c r="Q7" t="s">
        <v>21</v>
      </c>
      <c r="R7">
        <v>2</v>
      </c>
      <c r="S7">
        <v>98</v>
      </c>
      <c r="T7">
        <v>1</v>
      </c>
      <c r="U7" t="s">
        <v>136</v>
      </c>
      <c r="Y7" t="s">
        <v>32</v>
      </c>
      <c r="AA7">
        <v>52</v>
      </c>
      <c r="AB7" s="2">
        <v>45967.729953703703</v>
      </c>
      <c r="AC7" s="2">
        <v>45967.729953703703</v>
      </c>
      <c r="AD7" t="s">
        <v>135</v>
      </c>
      <c r="AE7">
        <v>0</v>
      </c>
      <c r="AF7" t="s">
        <v>21</v>
      </c>
      <c r="AG7">
        <v>0</v>
      </c>
      <c r="AK7">
        <v>0</v>
      </c>
      <c r="AN7" t="s">
        <v>142</v>
      </c>
    </row>
    <row r="8" spans="1:41" x14ac:dyDescent="0.35">
      <c r="A8">
        <v>26</v>
      </c>
      <c r="B8">
        <v>16</v>
      </c>
      <c r="C8" t="s">
        <v>143</v>
      </c>
      <c r="E8">
        <v>2</v>
      </c>
      <c r="F8">
        <v>19</v>
      </c>
      <c r="I8" t="s">
        <v>21</v>
      </c>
      <c r="J8">
        <v>1</v>
      </c>
      <c r="K8" t="s">
        <v>21</v>
      </c>
      <c r="L8" t="s">
        <v>21</v>
      </c>
      <c r="M8" t="s">
        <v>32</v>
      </c>
      <c r="N8">
        <v>1</v>
      </c>
      <c r="O8">
        <v>-1</v>
      </c>
      <c r="P8" t="s">
        <v>21</v>
      </c>
      <c r="Q8" t="s">
        <v>21</v>
      </c>
      <c r="R8">
        <v>2</v>
      </c>
      <c r="S8">
        <v>102</v>
      </c>
      <c r="T8">
        <v>1</v>
      </c>
      <c r="U8" t="s">
        <v>143</v>
      </c>
      <c r="Y8" t="s">
        <v>32</v>
      </c>
      <c r="AA8">
        <v>53</v>
      </c>
      <c r="AB8" s="2">
        <v>45967.729953703703</v>
      </c>
      <c r="AC8" s="2">
        <v>45967.729953703703</v>
      </c>
      <c r="AD8" t="s">
        <v>135</v>
      </c>
      <c r="AE8">
        <v>0</v>
      </c>
      <c r="AF8" t="s">
        <v>21</v>
      </c>
      <c r="AG8">
        <v>0</v>
      </c>
      <c r="AK8">
        <v>0</v>
      </c>
      <c r="AN8" t="s">
        <v>144</v>
      </c>
    </row>
    <row r="9" spans="1:41" x14ac:dyDescent="0.35">
      <c r="A9">
        <v>27</v>
      </c>
      <c r="B9">
        <v>16</v>
      </c>
      <c r="C9" t="s">
        <v>140</v>
      </c>
      <c r="E9">
        <v>2</v>
      </c>
      <c r="F9">
        <v>19</v>
      </c>
      <c r="I9" t="s">
        <v>21</v>
      </c>
      <c r="J9">
        <v>1</v>
      </c>
      <c r="K9" t="s">
        <v>21</v>
      </c>
      <c r="L9" t="s">
        <v>21</v>
      </c>
      <c r="M9" t="s">
        <v>32</v>
      </c>
      <c r="N9">
        <v>1</v>
      </c>
      <c r="O9">
        <v>-1</v>
      </c>
      <c r="P9" t="s">
        <v>21</v>
      </c>
      <c r="Q9" t="s">
        <v>21</v>
      </c>
      <c r="R9">
        <v>2</v>
      </c>
      <c r="S9">
        <v>106</v>
      </c>
      <c r="T9">
        <v>1</v>
      </c>
      <c r="U9" t="s">
        <v>140</v>
      </c>
      <c r="Y9" t="s">
        <v>32</v>
      </c>
      <c r="AA9">
        <v>54</v>
      </c>
      <c r="AB9" s="2">
        <v>45967.729953703703</v>
      </c>
      <c r="AC9" s="2">
        <v>45967.729953703703</v>
      </c>
      <c r="AD9" t="s">
        <v>135</v>
      </c>
      <c r="AE9">
        <v>0</v>
      </c>
      <c r="AF9" t="s">
        <v>21</v>
      </c>
      <c r="AG9">
        <v>0</v>
      </c>
      <c r="AK9">
        <v>0</v>
      </c>
      <c r="AN9" t="s">
        <v>145</v>
      </c>
    </row>
    <row r="10" spans="1:41" x14ac:dyDescent="0.35">
      <c r="A10">
        <v>20</v>
      </c>
      <c r="B10">
        <v>19</v>
      </c>
      <c r="C10" t="s">
        <v>134</v>
      </c>
      <c r="E10">
        <v>6</v>
      </c>
      <c r="F10">
        <v>19</v>
      </c>
      <c r="I10" t="s">
        <v>32</v>
      </c>
      <c r="J10">
        <v>1</v>
      </c>
      <c r="K10" t="s">
        <v>32</v>
      </c>
      <c r="L10" t="s">
        <v>32</v>
      </c>
      <c r="M10" t="s">
        <v>21</v>
      </c>
      <c r="N10">
        <v>1</v>
      </c>
      <c r="O10">
        <v>-1</v>
      </c>
      <c r="P10" t="s">
        <v>21</v>
      </c>
      <c r="Q10" t="s">
        <v>21</v>
      </c>
      <c r="R10">
        <v>1</v>
      </c>
      <c r="S10">
        <v>82</v>
      </c>
      <c r="T10">
        <v>3</v>
      </c>
      <c r="Y10" t="s">
        <v>32</v>
      </c>
      <c r="AA10">
        <v>21</v>
      </c>
      <c r="AB10" s="2">
        <v>45967.729953703703</v>
      </c>
      <c r="AC10" s="2">
        <v>45967.729953703703</v>
      </c>
      <c r="AD10" t="s">
        <v>135</v>
      </c>
      <c r="AE10">
        <v>0</v>
      </c>
      <c r="AF10" t="s">
        <v>21</v>
      </c>
      <c r="AG10">
        <v>0</v>
      </c>
      <c r="AK10">
        <v>0</v>
      </c>
    </row>
    <row r="11" spans="1:41" x14ac:dyDescent="0.35">
      <c r="A11">
        <v>28</v>
      </c>
      <c r="B11">
        <v>19</v>
      </c>
      <c r="C11" t="s">
        <v>136</v>
      </c>
      <c r="E11">
        <v>2</v>
      </c>
      <c r="F11">
        <v>19</v>
      </c>
      <c r="I11" t="s">
        <v>21</v>
      </c>
      <c r="J11">
        <v>1</v>
      </c>
      <c r="K11" t="s">
        <v>21</v>
      </c>
      <c r="L11" t="s">
        <v>21</v>
      </c>
      <c r="M11" t="s">
        <v>32</v>
      </c>
      <c r="N11">
        <v>1</v>
      </c>
      <c r="O11">
        <v>-1</v>
      </c>
      <c r="P11" t="s">
        <v>21</v>
      </c>
      <c r="Q11" t="s">
        <v>21</v>
      </c>
      <c r="R11">
        <v>2</v>
      </c>
      <c r="S11">
        <v>110</v>
      </c>
      <c r="T11">
        <v>1</v>
      </c>
      <c r="U11" t="s">
        <v>136</v>
      </c>
      <c r="Y11" t="s">
        <v>32</v>
      </c>
      <c r="AA11">
        <v>55</v>
      </c>
      <c r="AB11" s="2">
        <v>45967.729953703703</v>
      </c>
      <c r="AC11" s="2">
        <v>45967.729953703703</v>
      </c>
      <c r="AD11" t="s">
        <v>135</v>
      </c>
      <c r="AE11">
        <v>0</v>
      </c>
      <c r="AF11" t="s">
        <v>21</v>
      </c>
      <c r="AG11">
        <v>0</v>
      </c>
      <c r="AK11">
        <v>0</v>
      </c>
      <c r="AN11" t="s">
        <v>146</v>
      </c>
    </row>
    <row r="12" spans="1:41" x14ac:dyDescent="0.35">
      <c r="A12">
        <v>29</v>
      </c>
      <c r="B12">
        <v>19</v>
      </c>
      <c r="C12" t="s">
        <v>147</v>
      </c>
      <c r="E12">
        <v>6</v>
      </c>
      <c r="F12">
        <v>19</v>
      </c>
      <c r="I12" t="s">
        <v>21</v>
      </c>
      <c r="J12">
        <v>1</v>
      </c>
      <c r="K12" t="s">
        <v>21</v>
      </c>
      <c r="L12" t="s">
        <v>21</v>
      </c>
      <c r="M12" t="s">
        <v>32</v>
      </c>
      <c r="N12">
        <v>1</v>
      </c>
      <c r="O12">
        <v>-1</v>
      </c>
      <c r="P12" t="s">
        <v>21</v>
      </c>
      <c r="Q12" t="s">
        <v>21</v>
      </c>
      <c r="R12">
        <v>3</v>
      </c>
      <c r="S12">
        <v>114</v>
      </c>
      <c r="T12">
        <v>1</v>
      </c>
      <c r="U12" t="s">
        <v>147</v>
      </c>
      <c r="X12">
        <v>0</v>
      </c>
      <c r="Y12" t="s">
        <v>32</v>
      </c>
      <c r="AA12">
        <v>56</v>
      </c>
      <c r="AB12" s="2">
        <v>45967.729953703703</v>
      </c>
      <c r="AC12" s="2">
        <v>45967.729953703703</v>
      </c>
      <c r="AD12" t="s">
        <v>135</v>
      </c>
      <c r="AE12">
        <v>0</v>
      </c>
      <c r="AF12" t="s">
        <v>21</v>
      </c>
      <c r="AG12">
        <v>0</v>
      </c>
      <c r="AK12">
        <v>0</v>
      </c>
      <c r="AN12" t="s">
        <v>148</v>
      </c>
    </row>
    <row r="13" spans="1:41" x14ac:dyDescent="0.35">
      <c r="A13">
        <v>30</v>
      </c>
      <c r="B13">
        <v>19</v>
      </c>
      <c r="C13" t="s">
        <v>149</v>
      </c>
      <c r="E13">
        <v>6</v>
      </c>
      <c r="F13">
        <v>19</v>
      </c>
      <c r="I13" t="s">
        <v>21</v>
      </c>
      <c r="J13">
        <v>1</v>
      </c>
      <c r="K13" t="s">
        <v>21</v>
      </c>
      <c r="L13" t="s">
        <v>21</v>
      </c>
      <c r="M13" t="s">
        <v>32</v>
      </c>
      <c r="N13">
        <v>1</v>
      </c>
      <c r="O13">
        <v>-1</v>
      </c>
      <c r="P13" t="s">
        <v>21</v>
      </c>
      <c r="Q13" t="s">
        <v>21</v>
      </c>
      <c r="R13">
        <v>3</v>
      </c>
      <c r="S13">
        <v>118</v>
      </c>
      <c r="T13">
        <v>1</v>
      </c>
      <c r="U13" t="s">
        <v>149</v>
      </c>
      <c r="X13">
        <v>0</v>
      </c>
      <c r="Y13" t="s">
        <v>32</v>
      </c>
      <c r="AA13">
        <v>57</v>
      </c>
      <c r="AB13" s="2">
        <v>45967.729953703703</v>
      </c>
      <c r="AC13" s="2">
        <v>45967.729953703703</v>
      </c>
      <c r="AD13" t="s">
        <v>135</v>
      </c>
      <c r="AE13">
        <v>0</v>
      </c>
      <c r="AF13" t="s">
        <v>21</v>
      </c>
      <c r="AG13">
        <v>0</v>
      </c>
      <c r="AK13">
        <v>0</v>
      </c>
      <c r="AN13" t="s">
        <v>150</v>
      </c>
    </row>
    <row r="14" spans="1:41" x14ac:dyDescent="0.35">
      <c r="A14">
        <v>31</v>
      </c>
      <c r="B14">
        <v>19</v>
      </c>
      <c r="C14" t="s">
        <v>151</v>
      </c>
      <c r="E14">
        <v>2</v>
      </c>
      <c r="F14">
        <v>19</v>
      </c>
      <c r="I14" t="s">
        <v>21</v>
      </c>
      <c r="J14">
        <v>1</v>
      </c>
      <c r="K14" t="s">
        <v>21</v>
      </c>
      <c r="L14" t="s">
        <v>21</v>
      </c>
      <c r="M14" t="s">
        <v>32</v>
      </c>
      <c r="N14">
        <v>1</v>
      </c>
      <c r="O14">
        <v>-1</v>
      </c>
      <c r="P14" t="s">
        <v>21</v>
      </c>
      <c r="Q14" t="s">
        <v>21</v>
      </c>
      <c r="R14">
        <v>2</v>
      </c>
      <c r="S14">
        <v>122</v>
      </c>
      <c r="T14">
        <v>1</v>
      </c>
      <c r="U14" t="s">
        <v>151</v>
      </c>
      <c r="Y14" t="s">
        <v>32</v>
      </c>
      <c r="AA14">
        <v>58</v>
      </c>
      <c r="AB14" s="2">
        <v>45967.729953703703</v>
      </c>
      <c r="AC14" s="2">
        <v>45967.729953703703</v>
      </c>
      <c r="AD14" t="s">
        <v>135</v>
      </c>
      <c r="AE14">
        <v>0</v>
      </c>
      <c r="AF14" t="s">
        <v>21</v>
      </c>
      <c r="AG14">
        <v>0</v>
      </c>
      <c r="AK14">
        <v>0</v>
      </c>
      <c r="AN14" t="s">
        <v>152</v>
      </c>
    </row>
    <row r="15" spans="1:41" x14ac:dyDescent="0.35">
      <c r="A15">
        <v>389</v>
      </c>
      <c r="B15">
        <v>388</v>
      </c>
      <c r="C15" t="s">
        <v>134</v>
      </c>
      <c r="E15">
        <v>6</v>
      </c>
      <c r="F15">
        <v>19</v>
      </c>
      <c r="I15" t="s">
        <v>32</v>
      </c>
      <c r="J15">
        <v>1</v>
      </c>
      <c r="K15" t="s">
        <v>32</v>
      </c>
      <c r="L15" t="s">
        <v>32</v>
      </c>
      <c r="M15" t="s">
        <v>21</v>
      </c>
      <c r="N15">
        <v>1</v>
      </c>
      <c r="O15">
        <v>-1</v>
      </c>
      <c r="P15" t="s">
        <v>21</v>
      </c>
      <c r="Q15" t="s">
        <v>21</v>
      </c>
      <c r="R15">
        <v>1</v>
      </c>
      <c r="S15">
        <v>703</v>
      </c>
      <c r="T15">
        <v>3</v>
      </c>
      <c r="Y15" t="s">
        <v>32</v>
      </c>
      <c r="AA15">
        <v>390</v>
      </c>
      <c r="AB15" s="2">
        <v>45967.761944444443</v>
      </c>
      <c r="AC15" s="2">
        <v>45967.761944444443</v>
      </c>
      <c r="AD15" t="s">
        <v>135</v>
      </c>
      <c r="AE15">
        <v>0</v>
      </c>
      <c r="AF15" t="s">
        <v>21</v>
      </c>
      <c r="AG15">
        <v>0</v>
      </c>
      <c r="AK15">
        <v>0</v>
      </c>
    </row>
    <row r="16" spans="1:41" x14ac:dyDescent="0.35">
      <c r="A16">
        <v>424</v>
      </c>
      <c r="B16">
        <v>388</v>
      </c>
      <c r="C16" t="s">
        <v>153</v>
      </c>
      <c r="E16">
        <v>2</v>
      </c>
      <c r="F16">
        <v>19</v>
      </c>
      <c r="I16" t="s">
        <v>21</v>
      </c>
      <c r="J16">
        <v>1</v>
      </c>
      <c r="K16" t="s">
        <v>21</v>
      </c>
      <c r="L16" t="s">
        <v>21</v>
      </c>
      <c r="M16" t="s">
        <v>32</v>
      </c>
      <c r="N16">
        <v>1</v>
      </c>
      <c r="O16">
        <v>-1</v>
      </c>
      <c r="P16" t="s">
        <v>21</v>
      </c>
      <c r="Q16" t="s">
        <v>21</v>
      </c>
      <c r="R16">
        <v>2</v>
      </c>
      <c r="S16">
        <v>747</v>
      </c>
      <c r="T16">
        <v>1</v>
      </c>
      <c r="U16" t="s">
        <v>153</v>
      </c>
      <c r="Y16" t="s">
        <v>32</v>
      </c>
      <c r="AA16">
        <v>599</v>
      </c>
      <c r="AB16" s="2">
        <v>45967.761944444443</v>
      </c>
      <c r="AC16" s="2">
        <v>45967.761944444443</v>
      </c>
      <c r="AD16" t="s">
        <v>135</v>
      </c>
      <c r="AE16">
        <v>0</v>
      </c>
      <c r="AF16" t="s">
        <v>21</v>
      </c>
      <c r="AG16">
        <v>0</v>
      </c>
      <c r="AK16">
        <v>0</v>
      </c>
      <c r="AN16" t="s">
        <v>154</v>
      </c>
    </row>
    <row r="17" spans="1:40" x14ac:dyDescent="0.35">
      <c r="A17">
        <v>392</v>
      </c>
      <c r="B17">
        <v>391</v>
      </c>
      <c r="C17" t="s">
        <v>134</v>
      </c>
      <c r="E17">
        <v>6</v>
      </c>
      <c r="F17">
        <v>19</v>
      </c>
      <c r="I17" t="s">
        <v>32</v>
      </c>
      <c r="J17">
        <v>1</v>
      </c>
      <c r="K17" t="s">
        <v>32</v>
      </c>
      <c r="L17" t="s">
        <v>32</v>
      </c>
      <c r="M17" t="s">
        <v>21</v>
      </c>
      <c r="N17">
        <v>1</v>
      </c>
      <c r="O17">
        <v>-1</v>
      </c>
      <c r="P17" t="s">
        <v>21</v>
      </c>
      <c r="Q17" t="s">
        <v>21</v>
      </c>
      <c r="R17">
        <v>1</v>
      </c>
      <c r="S17">
        <v>707</v>
      </c>
      <c r="T17">
        <v>3</v>
      </c>
      <c r="Y17" t="s">
        <v>32</v>
      </c>
      <c r="AA17">
        <v>393</v>
      </c>
      <c r="AB17" s="2">
        <v>45967.761944444443</v>
      </c>
      <c r="AC17" s="2">
        <v>45967.761944444443</v>
      </c>
      <c r="AD17" t="s">
        <v>135</v>
      </c>
      <c r="AE17">
        <v>0</v>
      </c>
      <c r="AF17" t="s">
        <v>21</v>
      </c>
      <c r="AG17">
        <v>0</v>
      </c>
      <c r="AK17">
        <v>0</v>
      </c>
    </row>
    <row r="18" spans="1:40" x14ac:dyDescent="0.35">
      <c r="A18">
        <v>425</v>
      </c>
      <c r="B18">
        <v>391</v>
      </c>
      <c r="C18" t="s">
        <v>155</v>
      </c>
      <c r="E18">
        <v>2</v>
      </c>
      <c r="F18">
        <v>19</v>
      </c>
      <c r="I18" t="s">
        <v>21</v>
      </c>
      <c r="J18">
        <v>1</v>
      </c>
      <c r="K18" t="s">
        <v>21</v>
      </c>
      <c r="L18" t="s">
        <v>21</v>
      </c>
      <c r="M18" t="s">
        <v>32</v>
      </c>
      <c r="N18">
        <v>1</v>
      </c>
      <c r="O18">
        <v>-1</v>
      </c>
      <c r="P18" t="s">
        <v>21</v>
      </c>
      <c r="Q18" t="s">
        <v>21</v>
      </c>
      <c r="R18">
        <v>2</v>
      </c>
      <c r="S18">
        <v>751</v>
      </c>
      <c r="T18">
        <v>1</v>
      </c>
      <c r="U18" t="s">
        <v>155</v>
      </c>
      <c r="Y18" t="s">
        <v>32</v>
      </c>
      <c r="AA18">
        <v>600</v>
      </c>
      <c r="AB18" s="2">
        <v>45967.761944444443</v>
      </c>
      <c r="AC18" s="2">
        <v>45967.761944444443</v>
      </c>
      <c r="AD18" t="s">
        <v>135</v>
      </c>
      <c r="AE18">
        <v>0</v>
      </c>
      <c r="AF18" t="s">
        <v>21</v>
      </c>
      <c r="AG18">
        <v>0</v>
      </c>
      <c r="AK18">
        <v>0</v>
      </c>
      <c r="AN18" t="s">
        <v>156</v>
      </c>
    </row>
    <row r="19" spans="1:40" x14ac:dyDescent="0.35">
      <c r="A19">
        <v>426</v>
      </c>
      <c r="B19">
        <v>391</v>
      </c>
      <c r="C19" t="s">
        <v>157</v>
      </c>
      <c r="E19">
        <v>2</v>
      </c>
      <c r="F19">
        <v>19</v>
      </c>
      <c r="I19" t="s">
        <v>21</v>
      </c>
      <c r="J19">
        <v>1</v>
      </c>
      <c r="K19" t="s">
        <v>21</v>
      </c>
      <c r="L19" t="s">
        <v>21</v>
      </c>
      <c r="M19" t="s">
        <v>32</v>
      </c>
      <c r="N19">
        <v>1</v>
      </c>
      <c r="O19">
        <v>-1</v>
      </c>
      <c r="P19" t="s">
        <v>21</v>
      </c>
      <c r="Q19" t="s">
        <v>21</v>
      </c>
      <c r="R19">
        <v>2</v>
      </c>
      <c r="S19">
        <v>755</v>
      </c>
      <c r="T19">
        <v>1</v>
      </c>
      <c r="U19" t="s">
        <v>157</v>
      </c>
      <c r="Y19" t="s">
        <v>32</v>
      </c>
      <c r="AA19">
        <v>601</v>
      </c>
      <c r="AB19" s="2">
        <v>45967.761944444443</v>
      </c>
      <c r="AC19" s="2">
        <v>45967.761944444443</v>
      </c>
      <c r="AD19" t="s">
        <v>135</v>
      </c>
      <c r="AE19">
        <v>0</v>
      </c>
      <c r="AF19" t="s">
        <v>21</v>
      </c>
      <c r="AG19">
        <v>0</v>
      </c>
      <c r="AK19">
        <v>0</v>
      </c>
      <c r="AN19" t="s">
        <v>158</v>
      </c>
    </row>
    <row r="20" spans="1:40" x14ac:dyDescent="0.35">
      <c r="A20">
        <v>427</v>
      </c>
      <c r="B20">
        <v>391</v>
      </c>
      <c r="C20" t="s">
        <v>159</v>
      </c>
      <c r="E20">
        <v>9</v>
      </c>
      <c r="F20">
        <v>19</v>
      </c>
      <c r="I20" t="s">
        <v>21</v>
      </c>
      <c r="J20">
        <v>1</v>
      </c>
      <c r="K20" t="s">
        <v>21</v>
      </c>
      <c r="L20" t="s">
        <v>21</v>
      </c>
      <c r="M20" t="s">
        <v>32</v>
      </c>
      <c r="N20">
        <v>1</v>
      </c>
      <c r="O20">
        <v>-1</v>
      </c>
      <c r="P20" t="s">
        <v>21</v>
      </c>
      <c r="Q20" t="s">
        <v>21</v>
      </c>
      <c r="R20">
        <v>2</v>
      </c>
      <c r="S20">
        <v>759</v>
      </c>
      <c r="T20">
        <v>1</v>
      </c>
      <c r="U20" t="s">
        <v>159</v>
      </c>
      <c r="X20" t="s">
        <v>160</v>
      </c>
      <c r="Y20" t="s">
        <v>32</v>
      </c>
      <c r="AA20">
        <v>602</v>
      </c>
      <c r="AB20" s="2">
        <v>45967.761944444443</v>
      </c>
      <c r="AC20" s="2">
        <v>45967.761944444443</v>
      </c>
      <c r="AD20" t="s">
        <v>135</v>
      </c>
      <c r="AE20">
        <v>0</v>
      </c>
      <c r="AF20" t="s">
        <v>21</v>
      </c>
      <c r="AG20">
        <v>0</v>
      </c>
      <c r="AK20">
        <v>0</v>
      </c>
      <c r="AN20" t="s">
        <v>161</v>
      </c>
    </row>
    <row r="21" spans="1:40" x14ac:dyDescent="0.35">
      <c r="A21">
        <v>442</v>
      </c>
      <c r="B21">
        <v>391</v>
      </c>
      <c r="C21" t="s">
        <v>162</v>
      </c>
      <c r="E21">
        <v>2</v>
      </c>
      <c r="F21">
        <v>19</v>
      </c>
      <c r="I21" t="s">
        <v>21</v>
      </c>
      <c r="J21">
        <v>1</v>
      </c>
      <c r="K21" t="s">
        <v>21</v>
      </c>
      <c r="L21" t="s">
        <v>21</v>
      </c>
      <c r="M21" t="s">
        <v>32</v>
      </c>
      <c r="N21">
        <v>1</v>
      </c>
      <c r="O21">
        <v>-1</v>
      </c>
      <c r="P21" t="s">
        <v>21</v>
      </c>
      <c r="Q21" t="s">
        <v>21</v>
      </c>
      <c r="R21">
        <v>2</v>
      </c>
      <c r="S21">
        <v>819</v>
      </c>
      <c r="T21">
        <v>1</v>
      </c>
      <c r="U21" t="s">
        <v>162</v>
      </c>
      <c r="Y21" t="s">
        <v>32</v>
      </c>
      <c r="AA21">
        <v>617</v>
      </c>
      <c r="AB21" s="2">
        <v>45967.761944444443</v>
      </c>
      <c r="AC21" s="2">
        <v>45967.761944444443</v>
      </c>
      <c r="AD21" t="s">
        <v>135</v>
      </c>
      <c r="AE21">
        <v>0</v>
      </c>
      <c r="AF21" t="s">
        <v>21</v>
      </c>
      <c r="AG21">
        <v>0</v>
      </c>
      <c r="AK21">
        <v>0</v>
      </c>
      <c r="AN21" t="s">
        <v>163</v>
      </c>
    </row>
    <row r="22" spans="1:40" x14ac:dyDescent="0.35">
      <c r="A22">
        <v>443</v>
      </c>
      <c r="B22">
        <v>391</v>
      </c>
      <c r="C22" t="s">
        <v>164</v>
      </c>
      <c r="E22">
        <v>6</v>
      </c>
      <c r="F22">
        <v>19</v>
      </c>
      <c r="I22" t="s">
        <v>21</v>
      </c>
      <c r="J22">
        <v>1</v>
      </c>
      <c r="K22" t="s">
        <v>21</v>
      </c>
      <c r="L22" t="s">
        <v>21</v>
      </c>
      <c r="M22" t="s">
        <v>32</v>
      </c>
      <c r="N22">
        <v>1</v>
      </c>
      <c r="O22">
        <v>-1</v>
      </c>
      <c r="P22" t="s">
        <v>21</v>
      </c>
      <c r="Q22" t="s">
        <v>21</v>
      </c>
      <c r="R22">
        <v>3</v>
      </c>
      <c r="S22">
        <v>823</v>
      </c>
      <c r="T22">
        <v>1</v>
      </c>
      <c r="U22" t="s">
        <v>164</v>
      </c>
      <c r="X22">
        <v>0</v>
      </c>
      <c r="Y22" t="s">
        <v>32</v>
      </c>
      <c r="AA22">
        <v>618</v>
      </c>
      <c r="AB22" s="2">
        <v>45967.761944444443</v>
      </c>
      <c r="AC22" s="2">
        <v>45967.761944444443</v>
      </c>
      <c r="AD22" t="s">
        <v>135</v>
      </c>
      <c r="AE22">
        <v>0</v>
      </c>
      <c r="AF22" t="s">
        <v>21</v>
      </c>
      <c r="AG22">
        <v>0</v>
      </c>
      <c r="AK22">
        <v>0</v>
      </c>
      <c r="AN22" t="s">
        <v>165</v>
      </c>
    </row>
    <row r="23" spans="1:40" x14ac:dyDescent="0.35">
      <c r="A23">
        <v>395</v>
      </c>
      <c r="B23">
        <v>394</v>
      </c>
      <c r="C23" t="s">
        <v>134</v>
      </c>
      <c r="E23">
        <v>6</v>
      </c>
      <c r="F23">
        <v>19</v>
      </c>
      <c r="I23" t="s">
        <v>32</v>
      </c>
      <c r="J23">
        <v>1</v>
      </c>
      <c r="K23" t="s">
        <v>32</v>
      </c>
      <c r="L23" t="s">
        <v>32</v>
      </c>
      <c r="M23" t="s">
        <v>21</v>
      </c>
      <c r="N23">
        <v>1</v>
      </c>
      <c r="O23">
        <v>-1</v>
      </c>
      <c r="P23" t="s">
        <v>21</v>
      </c>
      <c r="Q23" t="s">
        <v>21</v>
      </c>
      <c r="R23">
        <v>1</v>
      </c>
      <c r="S23">
        <v>711</v>
      </c>
      <c r="T23">
        <v>3</v>
      </c>
      <c r="Y23" t="s">
        <v>32</v>
      </c>
      <c r="AA23">
        <v>396</v>
      </c>
      <c r="AB23" s="2">
        <v>45967.761944444443</v>
      </c>
      <c r="AC23" s="2">
        <v>45967.761944444443</v>
      </c>
      <c r="AD23" t="s">
        <v>135</v>
      </c>
      <c r="AE23">
        <v>2</v>
      </c>
      <c r="AF23" t="s">
        <v>21</v>
      </c>
      <c r="AG23">
        <v>0</v>
      </c>
      <c r="AK23">
        <v>0</v>
      </c>
    </row>
    <row r="24" spans="1:40" x14ac:dyDescent="0.35">
      <c r="A24">
        <v>428</v>
      </c>
      <c r="B24">
        <v>394</v>
      </c>
      <c r="D24" t="s">
        <v>166</v>
      </c>
      <c r="E24">
        <v>9</v>
      </c>
      <c r="F24">
        <v>9</v>
      </c>
      <c r="G24" t="s">
        <v>167</v>
      </c>
      <c r="I24" t="s">
        <v>32</v>
      </c>
      <c r="J24">
        <v>1</v>
      </c>
      <c r="K24" t="s">
        <v>21</v>
      </c>
      <c r="L24" t="s">
        <v>21</v>
      </c>
      <c r="M24" t="s">
        <v>32</v>
      </c>
      <c r="N24">
        <v>1</v>
      </c>
      <c r="O24">
        <v>-1</v>
      </c>
      <c r="P24" t="s">
        <v>21</v>
      </c>
      <c r="Q24" t="s">
        <v>21</v>
      </c>
      <c r="R24">
        <v>2</v>
      </c>
      <c r="S24">
        <v>763</v>
      </c>
      <c r="T24">
        <v>4</v>
      </c>
      <c r="U24" t="s">
        <v>168</v>
      </c>
      <c r="X24" t="s">
        <v>169</v>
      </c>
      <c r="Y24" t="s">
        <v>32</v>
      </c>
      <c r="AA24">
        <v>603</v>
      </c>
      <c r="AB24" s="2">
        <v>45967.762002314812</v>
      </c>
      <c r="AC24" s="2">
        <v>45967.761944444443</v>
      </c>
      <c r="AD24" t="s">
        <v>135</v>
      </c>
      <c r="AE24">
        <v>2</v>
      </c>
      <c r="AF24" t="s">
        <v>21</v>
      </c>
      <c r="AG24">
        <v>0</v>
      </c>
      <c r="AK24">
        <v>0</v>
      </c>
      <c r="AN24" t="s">
        <v>170</v>
      </c>
    </row>
    <row r="25" spans="1:40" x14ac:dyDescent="0.35">
      <c r="A25">
        <v>429</v>
      </c>
      <c r="B25">
        <v>394</v>
      </c>
      <c r="C25" t="s">
        <v>171</v>
      </c>
      <c r="E25">
        <v>6</v>
      </c>
      <c r="F25">
        <v>6</v>
      </c>
      <c r="G25" t="s">
        <v>172</v>
      </c>
      <c r="I25" t="s">
        <v>32</v>
      </c>
      <c r="J25">
        <v>1</v>
      </c>
      <c r="K25" t="s">
        <v>21</v>
      </c>
      <c r="L25" t="s">
        <v>21</v>
      </c>
      <c r="M25" t="s">
        <v>32</v>
      </c>
      <c r="N25">
        <v>1</v>
      </c>
      <c r="O25">
        <v>-1</v>
      </c>
      <c r="P25" t="s">
        <v>21</v>
      </c>
      <c r="Q25" t="s">
        <v>21</v>
      </c>
      <c r="R25">
        <v>2</v>
      </c>
      <c r="S25">
        <v>767</v>
      </c>
      <c r="T25">
        <v>2</v>
      </c>
      <c r="W25" t="s">
        <v>173</v>
      </c>
      <c r="X25">
        <v>0</v>
      </c>
      <c r="Y25" t="s">
        <v>32</v>
      </c>
      <c r="AA25">
        <v>604</v>
      </c>
      <c r="AB25" s="2">
        <v>45967.762002314812</v>
      </c>
      <c r="AC25" s="2">
        <v>45967.761944444443</v>
      </c>
      <c r="AD25" s="2">
        <v>45967.762002314812</v>
      </c>
      <c r="AE25">
        <v>2</v>
      </c>
      <c r="AF25" t="s">
        <v>21</v>
      </c>
      <c r="AG25">
        <v>0</v>
      </c>
      <c r="AK25">
        <v>0</v>
      </c>
      <c r="AN25" t="s">
        <v>174</v>
      </c>
    </row>
    <row r="26" spans="1:40" x14ac:dyDescent="0.35">
      <c r="A26">
        <v>430</v>
      </c>
      <c r="B26">
        <v>394</v>
      </c>
      <c r="C26" t="s">
        <v>175</v>
      </c>
      <c r="E26">
        <v>6</v>
      </c>
      <c r="F26">
        <v>6</v>
      </c>
      <c r="G26" t="s">
        <v>176</v>
      </c>
      <c r="I26" t="s">
        <v>32</v>
      </c>
      <c r="J26">
        <v>1</v>
      </c>
      <c r="K26" t="s">
        <v>21</v>
      </c>
      <c r="L26" t="s">
        <v>21</v>
      </c>
      <c r="M26" t="s">
        <v>32</v>
      </c>
      <c r="N26">
        <v>1</v>
      </c>
      <c r="O26">
        <v>-1</v>
      </c>
      <c r="P26" t="s">
        <v>21</v>
      </c>
      <c r="Q26" t="s">
        <v>21</v>
      </c>
      <c r="R26">
        <v>2</v>
      </c>
      <c r="S26">
        <v>771</v>
      </c>
      <c r="T26">
        <v>2</v>
      </c>
      <c r="W26" t="s">
        <v>177</v>
      </c>
      <c r="X26">
        <v>0</v>
      </c>
      <c r="Y26" t="s">
        <v>32</v>
      </c>
      <c r="AA26">
        <v>605</v>
      </c>
      <c r="AB26" s="2">
        <v>45967.762002314812</v>
      </c>
      <c r="AC26" s="2">
        <v>45967.761944444443</v>
      </c>
      <c r="AD26" s="2">
        <v>45967.762002314812</v>
      </c>
      <c r="AE26">
        <v>2</v>
      </c>
      <c r="AF26" t="s">
        <v>21</v>
      </c>
      <c r="AG26">
        <v>0</v>
      </c>
      <c r="AK26">
        <v>0</v>
      </c>
      <c r="AN26" t="s">
        <v>178</v>
      </c>
    </row>
    <row r="27" spans="1:40" x14ac:dyDescent="0.35">
      <c r="A27">
        <v>431</v>
      </c>
      <c r="B27">
        <v>394</v>
      </c>
      <c r="C27" t="s">
        <v>179</v>
      </c>
      <c r="E27">
        <v>2</v>
      </c>
      <c r="F27">
        <v>2</v>
      </c>
      <c r="G27" t="s">
        <v>180</v>
      </c>
      <c r="I27" t="s">
        <v>32</v>
      </c>
      <c r="J27">
        <v>1</v>
      </c>
      <c r="K27" t="s">
        <v>21</v>
      </c>
      <c r="L27" t="s">
        <v>21</v>
      </c>
      <c r="M27" t="s">
        <v>32</v>
      </c>
      <c r="N27">
        <v>1</v>
      </c>
      <c r="O27">
        <v>-1</v>
      </c>
      <c r="P27" t="s">
        <v>21</v>
      </c>
      <c r="Q27" t="s">
        <v>21</v>
      </c>
      <c r="R27">
        <v>2</v>
      </c>
      <c r="S27">
        <v>775</v>
      </c>
      <c r="T27">
        <v>2</v>
      </c>
      <c r="W27" t="s">
        <v>181</v>
      </c>
      <c r="Y27" t="s">
        <v>32</v>
      </c>
      <c r="Z27">
        <v>430</v>
      </c>
      <c r="AA27">
        <v>606</v>
      </c>
      <c r="AB27" s="2">
        <v>45967.762002314812</v>
      </c>
      <c r="AC27" s="2">
        <v>45967.761944444443</v>
      </c>
      <c r="AD27" s="2">
        <v>45967.762002314812</v>
      </c>
      <c r="AE27">
        <v>2</v>
      </c>
      <c r="AF27" t="s">
        <v>21</v>
      </c>
      <c r="AG27">
        <v>0</v>
      </c>
      <c r="AK27">
        <v>0</v>
      </c>
      <c r="AN27" t="s">
        <v>182</v>
      </c>
    </row>
    <row r="28" spans="1:40" x14ac:dyDescent="0.35">
      <c r="A28">
        <v>432</v>
      </c>
      <c r="B28">
        <v>394</v>
      </c>
      <c r="C28" t="s">
        <v>183</v>
      </c>
      <c r="E28">
        <v>6</v>
      </c>
      <c r="F28">
        <v>6</v>
      </c>
      <c r="G28" t="s">
        <v>184</v>
      </c>
      <c r="I28" t="s">
        <v>32</v>
      </c>
      <c r="J28">
        <v>1</v>
      </c>
      <c r="K28" t="s">
        <v>21</v>
      </c>
      <c r="L28" t="s">
        <v>21</v>
      </c>
      <c r="M28" t="s">
        <v>32</v>
      </c>
      <c r="N28">
        <v>1</v>
      </c>
      <c r="O28">
        <v>-1</v>
      </c>
      <c r="P28" t="s">
        <v>21</v>
      </c>
      <c r="Q28" t="s">
        <v>21</v>
      </c>
      <c r="R28">
        <v>2</v>
      </c>
      <c r="S28">
        <v>779</v>
      </c>
      <c r="T28">
        <v>2</v>
      </c>
      <c r="W28" t="s">
        <v>185</v>
      </c>
      <c r="X28">
        <v>0</v>
      </c>
      <c r="Y28" t="s">
        <v>32</v>
      </c>
      <c r="AA28">
        <v>607</v>
      </c>
      <c r="AB28" s="2">
        <v>45967.762002314812</v>
      </c>
      <c r="AC28" s="2">
        <v>45967.761944444443</v>
      </c>
      <c r="AD28" s="2">
        <v>45967.762002314812</v>
      </c>
      <c r="AE28">
        <v>2</v>
      </c>
      <c r="AF28" t="s">
        <v>21</v>
      </c>
      <c r="AG28">
        <v>0</v>
      </c>
      <c r="AK28">
        <v>0</v>
      </c>
      <c r="AN28" t="s">
        <v>186</v>
      </c>
    </row>
    <row r="29" spans="1:40" x14ac:dyDescent="0.35">
      <c r="A29">
        <v>433</v>
      </c>
      <c r="B29">
        <v>394</v>
      </c>
      <c r="C29" t="s">
        <v>187</v>
      </c>
      <c r="E29">
        <v>2</v>
      </c>
      <c r="F29">
        <v>2</v>
      </c>
      <c r="G29" t="s">
        <v>188</v>
      </c>
      <c r="I29" t="s">
        <v>32</v>
      </c>
      <c r="J29">
        <v>1</v>
      </c>
      <c r="K29" t="s">
        <v>21</v>
      </c>
      <c r="L29" t="s">
        <v>21</v>
      </c>
      <c r="M29" t="s">
        <v>32</v>
      </c>
      <c r="N29">
        <v>1</v>
      </c>
      <c r="O29">
        <v>-1</v>
      </c>
      <c r="P29" t="s">
        <v>21</v>
      </c>
      <c r="Q29" t="s">
        <v>21</v>
      </c>
      <c r="R29">
        <v>2</v>
      </c>
      <c r="S29">
        <v>783</v>
      </c>
      <c r="T29">
        <v>2</v>
      </c>
      <c r="W29" t="s">
        <v>189</v>
      </c>
      <c r="Y29" t="s">
        <v>32</v>
      </c>
      <c r="Z29">
        <v>432</v>
      </c>
      <c r="AA29">
        <v>608</v>
      </c>
      <c r="AB29" s="2">
        <v>45967.762002314812</v>
      </c>
      <c r="AC29" s="2">
        <v>45967.761944444443</v>
      </c>
      <c r="AD29" s="2">
        <v>45967.762002314812</v>
      </c>
      <c r="AE29">
        <v>2</v>
      </c>
      <c r="AF29" t="s">
        <v>21</v>
      </c>
      <c r="AG29">
        <v>0</v>
      </c>
      <c r="AK29">
        <v>0</v>
      </c>
      <c r="AN29" t="s">
        <v>190</v>
      </c>
    </row>
    <row r="30" spans="1:40" x14ac:dyDescent="0.35">
      <c r="A30">
        <v>434</v>
      </c>
      <c r="B30">
        <v>394</v>
      </c>
      <c r="C30" t="s">
        <v>191</v>
      </c>
      <c r="E30">
        <v>6</v>
      </c>
      <c r="F30">
        <v>6</v>
      </c>
      <c r="G30" t="s">
        <v>192</v>
      </c>
      <c r="I30" t="s">
        <v>32</v>
      </c>
      <c r="J30">
        <v>1</v>
      </c>
      <c r="K30" t="s">
        <v>21</v>
      </c>
      <c r="L30" t="s">
        <v>21</v>
      </c>
      <c r="M30" t="s">
        <v>32</v>
      </c>
      <c r="N30">
        <v>1</v>
      </c>
      <c r="O30">
        <v>-1</v>
      </c>
      <c r="P30" t="s">
        <v>21</v>
      </c>
      <c r="Q30" t="s">
        <v>21</v>
      </c>
      <c r="R30">
        <v>2</v>
      </c>
      <c r="S30">
        <v>787</v>
      </c>
      <c r="T30">
        <v>2</v>
      </c>
      <c r="W30" t="s">
        <v>193</v>
      </c>
      <c r="X30">
        <v>0</v>
      </c>
      <c r="Y30" t="s">
        <v>32</v>
      </c>
      <c r="AA30">
        <v>609</v>
      </c>
      <c r="AB30" s="2">
        <v>45967.762002314812</v>
      </c>
      <c r="AC30" s="2">
        <v>45967.761944444443</v>
      </c>
      <c r="AD30" s="2">
        <v>45967.762002314812</v>
      </c>
      <c r="AE30">
        <v>2</v>
      </c>
      <c r="AF30" t="s">
        <v>21</v>
      </c>
      <c r="AG30">
        <v>0</v>
      </c>
      <c r="AK30">
        <v>0</v>
      </c>
      <c r="AN30" t="s">
        <v>194</v>
      </c>
    </row>
    <row r="31" spans="1:40" x14ac:dyDescent="0.35">
      <c r="A31">
        <v>398</v>
      </c>
      <c r="B31">
        <v>397</v>
      </c>
      <c r="C31" t="s">
        <v>134</v>
      </c>
      <c r="E31">
        <v>6</v>
      </c>
      <c r="F31">
        <v>19</v>
      </c>
      <c r="I31" t="s">
        <v>32</v>
      </c>
      <c r="J31">
        <v>1</v>
      </c>
      <c r="K31" t="s">
        <v>32</v>
      </c>
      <c r="L31" t="s">
        <v>32</v>
      </c>
      <c r="M31" t="s">
        <v>21</v>
      </c>
      <c r="N31">
        <v>1</v>
      </c>
      <c r="O31">
        <v>-1</v>
      </c>
      <c r="P31" t="s">
        <v>21</v>
      </c>
      <c r="Q31" t="s">
        <v>21</v>
      </c>
      <c r="R31">
        <v>1</v>
      </c>
      <c r="S31">
        <v>715</v>
      </c>
      <c r="T31">
        <v>3</v>
      </c>
      <c r="Y31" t="s">
        <v>32</v>
      </c>
      <c r="AA31">
        <v>399</v>
      </c>
      <c r="AB31" s="2">
        <v>45967.769548611112</v>
      </c>
      <c r="AC31" s="2">
        <v>45967.761944444443</v>
      </c>
      <c r="AD31" t="s">
        <v>135</v>
      </c>
      <c r="AE31">
        <v>2</v>
      </c>
      <c r="AF31" t="s">
        <v>21</v>
      </c>
      <c r="AG31">
        <v>0</v>
      </c>
      <c r="AK31">
        <v>0</v>
      </c>
    </row>
    <row r="32" spans="1:40" x14ac:dyDescent="0.35">
      <c r="A32">
        <v>435</v>
      </c>
      <c r="B32">
        <v>397</v>
      </c>
      <c r="D32" t="s">
        <v>166</v>
      </c>
      <c r="E32">
        <v>9</v>
      </c>
      <c r="F32">
        <v>9</v>
      </c>
      <c r="G32" t="s">
        <v>167</v>
      </c>
      <c r="I32" t="s">
        <v>32</v>
      </c>
      <c r="J32">
        <v>1</v>
      </c>
      <c r="K32" t="s">
        <v>21</v>
      </c>
      <c r="L32" t="s">
        <v>21</v>
      </c>
      <c r="M32" t="s">
        <v>32</v>
      </c>
      <c r="N32">
        <v>1</v>
      </c>
      <c r="O32">
        <v>-1</v>
      </c>
      <c r="P32" t="s">
        <v>21</v>
      </c>
      <c r="Q32" t="s">
        <v>21</v>
      </c>
      <c r="R32">
        <v>2</v>
      </c>
      <c r="S32">
        <v>791</v>
      </c>
      <c r="T32">
        <v>4</v>
      </c>
      <c r="U32" t="s">
        <v>168</v>
      </c>
      <c r="X32" t="s">
        <v>169</v>
      </c>
      <c r="Y32" t="s">
        <v>32</v>
      </c>
      <c r="AA32">
        <v>610</v>
      </c>
      <c r="AB32" s="2">
        <v>45967.769548611112</v>
      </c>
      <c r="AC32" s="2">
        <v>45967.761944444443</v>
      </c>
      <c r="AD32" t="s">
        <v>135</v>
      </c>
      <c r="AE32">
        <v>2</v>
      </c>
      <c r="AF32" t="s">
        <v>21</v>
      </c>
      <c r="AG32">
        <v>0</v>
      </c>
      <c r="AK32">
        <v>0</v>
      </c>
      <c r="AN32" t="s">
        <v>195</v>
      </c>
    </row>
    <row r="33" spans="1:40" x14ac:dyDescent="0.35">
      <c r="A33">
        <v>436</v>
      </c>
      <c r="B33">
        <v>397</v>
      </c>
      <c r="C33" t="s">
        <v>171</v>
      </c>
      <c r="E33">
        <v>6</v>
      </c>
      <c r="F33">
        <v>6</v>
      </c>
      <c r="G33" t="s">
        <v>172</v>
      </c>
      <c r="I33" t="s">
        <v>32</v>
      </c>
      <c r="J33">
        <v>1</v>
      </c>
      <c r="K33" t="s">
        <v>21</v>
      </c>
      <c r="L33" t="s">
        <v>21</v>
      </c>
      <c r="M33" t="s">
        <v>32</v>
      </c>
      <c r="N33">
        <v>1</v>
      </c>
      <c r="O33">
        <v>-1</v>
      </c>
      <c r="P33" t="s">
        <v>21</v>
      </c>
      <c r="Q33" t="s">
        <v>21</v>
      </c>
      <c r="R33">
        <v>2</v>
      </c>
      <c r="S33">
        <v>795</v>
      </c>
      <c r="T33">
        <v>2</v>
      </c>
      <c r="W33" t="s">
        <v>173</v>
      </c>
      <c r="X33">
        <v>0</v>
      </c>
      <c r="Y33" t="s">
        <v>32</v>
      </c>
      <c r="AA33">
        <v>611</v>
      </c>
      <c r="AB33" s="2">
        <v>45967.769548611112</v>
      </c>
      <c r="AC33" s="2">
        <v>45967.761944444443</v>
      </c>
      <c r="AD33" s="2">
        <v>45967.769548611112</v>
      </c>
      <c r="AE33">
        <v>2</v>
      </c>
      <c r="AF33" t="s">
        <v>21</v>
      </c>
      <c r="AG33">
        <v>0</v>
      </c>
      <c r="AK33">
        <v>0</v>
      </c>
      <c r="AN33" t="s">
        <v>196</v>
      </c>
    </row>
    <row r="34" spans="1:40" x14ac:dyDescent="0.35">
      <c r="A34">
        <v>437</v>
      </c>
      <c r="B34">
        <v>397</v>
      </c>
      <c r="C34" t="s">
        <v>175</v>
      </c>
      <c r="E34">
        <v>6</v>
      </c>
      <c r="F34">
        <v>6</v>
      </c>
      <c r="G34" t="s">
        <v>176</v>
      </c>
      <c r="I34" t="s">
        <v>32</v>
      </c>
      <c r="J34">
        <v>1</v>
      </c>
      <c r="K34" t="s">
        <v>21</v>
      </c>
      <c r="L34" t="s">
        <v>21</v>
      </c>
      <c r="M34" t="s">
        <v>32</v>
      </c>
      <c r="N34">
        <v>1</v>
      </c>
      <c r="O34">
        <v>-1</v>
      </c>
      <c r="P34" t="s">
        <v>21</v>
      </c>
      <c r="Q34" t="s">
        <v>21</v>
      </c>
      <c r="R34">
        <v>2</v>
      </c>
      <c r="S34">
        <v>799</v>
      </c>
      <c r="T34">
        <v>2</v>
      </c>
      <c r="W34" t="s">
        <v>177</v>
      </c>
      <c r="X34">
        <v>0</v>
      </c>
      <c r="Y34" t="s">
        <v>32</v>
      </c>
      <c r="AA34">
        <v>612</v>
      </c>
      <c r="AB34" s="2">
        <v>45967.769548611112</v>
      </c>
      <c r="AC34" s="2">
        <v>45967.761944444443</v>
      </c>
      <c r="AD34" s="2">
        <v>45967.769548611112</v>
      </c>
      <c r="AE34">
        <v>2</v>
      </c>
      <c r="AF34" t="s">
        <v>21</v>
      </c>
      <c r="AG34">
        <v>0</v>
      </c>
      <c r="AK34">
        <v>0</v>
      </c>
      <c r="AN34" t="s">
        <v>197</v>
      </c>
    </row>
    <row r="35" spans="1:40" x14ac:dyDescent="0.35">
      <c r="A35">
        <v>438</v>
      </c>
      <c r="B35">
        <v>397</v>
      </c>
      <c r="C35" t="s">
        <v>179</v>
      </c>
      <c r="E35">
        <v>2</v>
      </c>
      <c r="F35">
        <v>2</v>
      </c>
      <c r="G35" t="s">
        <v>180</v>
      </c>
      <c r="I35" t="s">
        <v>32</v>
      </c>
      <c r="J35">
        <v>1</v>
      </c>
      <c r="K35" t="s">
        <v>21</v>
      </c>
      <c r="L35" t="s">
        <v>21</v>
      </c>
      <c r="M35" t="s">
        <v>32</v>
      </c>
      <c r="N35">
        <v>1</v>
      </c>
      <c r="O35">
        <v>-1</v>
      </c>
      <c r="P35" t="s">
        <v>21</v>
      </c>
      <c r="Q35" t="s">
        <v>21</v>
      </c>
      <c r="R35">
        <v>2</v>
      </c>
      <c r="S35">
        <v>803</v>
      </c>
      <c r="T35">
        <v>2</v>
      </c>
      <c r="W35" t="s">
        <v>181</v>
      </c>
      <c r="Y35" t="s">
        <v>32</v>
      </c>
      <c r="Z35">
        <v>437</v>
      </c>
      <c r="AA35">
        <v>613</v>
      </c>
      <c r="AB35" s="2">
        <v>45967.769548611112</v>
      </c>
      <c r="AC35" s="2">
        <v>45967.761944444443</v>
      </c>
      <c r="AD35" s="2">
        <v>45967.769548611112</v>
      </c>
      <c r="AE35">
        <v>2</v>
      </c>
      <c r="AF35" t="s">
        <v>21</v>
      </c>
      <c r="AG35">
        <v>0</v>
      </c>
      <c r="AK35">
        <v>0</v>
      </c>
      <c r="AN35" t="s">
        <v>198</v>
      </c>
    </row>
    <row r="36" spans="1:40" x14ac:dyDescent="0.35">
      <c r="A36">
        <v>439</v>
      </c>
      <c r="B36">
        <v>397</v>
      </c>
      <c r="C36" t="s">
        <v>183</v>
      </c>
      <c r="E36">
        <v>6</v>
      </c>
      <c r="F36">
        <v>6</v>
      </c>
      <c r="G36" t="s">
        <v>184</v>
      </c>
      <c r="I36" t="s">
        <v>32</v>
      </c>
      <c r="J36">
        <v>1</v>
      </c>
      <c r="K36" t="s">
        <v>21</v>
      </c>
      <c r="L36" t="s">
        <v>21</v>
      </c>
      <c r="M36" t="s">
        <v>32</v>
      </c>
      <c r="N36">
        <v>1</v>
      </c>
      <c r="O36">
        <v>-1</v>
      </c>
      <c r="P36" t="s">
        <v>21</v>
      </c>
      <c r="Q36" t="s">
        <v>21</v>
      </c>
      <c r="R36">
        <v>2</v>
      </c>
      <c r="S36">
        <v>807</v>
      </c>
      <c r="T36">
        <v>2</v>
      </c>
      <c r="W36" t="s">
        <v>185</v>
      </c>
      <c r="X36">
        <v>0</v>
      </c>
      <c r="Y36" t="s">
        <v>32</v>
      </c>
      <c r="AA36">
        <v>614</v>
      </c>
      <c r="AB36" s="2">
        <v>45967.769548611112</v>
      </c>
      <c r="AC36" s="2">
        <v>45967.761944444443</v>
      </c>
      <c r="AD36" s="2">
        <v>45967.769548611112</v>
      </c>
      <c r="AE36">
        <v>2</v>
      </c>
      <c r="AF36" t="s">
        <v>21</v>
      </c>
      <c r="AG36">
        <v>0</v>
      </c>
      <c r="AK36">
        <v>0</v>
      </c>
      <c r="AN36" t="s">
        <v>199</v>
      </c>
    </row>
    <row r="37" spans="1:40" x14ac:dyDescent="0.35">
      <c r="A37">
        <v>440</v>
      </c>
      <c r="B37">
        <v>397</v>
      </c>
      <c r="C37" t="s">
        <v>187</v>
      </c>
      <c r="E37">
        <v>2</v>
      </c>
      <c r="F37">
        <v>2</v>
      </c>
      <c r="G37" t="s">
        <v>188</v>
      </c>
      <c r="I37" t="s">
        <v>32</v>
      </c>
      <c r="J37">
        <v>1</v>
      </c>
      <c r="K37" t="s">
        <v>21</v>
      </c>
      <c r="L37" t="s">
        <v>21</v>
      </c>
      <c r="M37" t="s">
        <v>32</v>
      </c>
      <c r="N37">
        <v>1</v>
      </c>
      <c r="O37">
        <v>-1</v>
      </c>
      <c r="P37" t="s">
        <v>21</v>
      </c>
      <c r="Q37" t="s">
        <v>21</v>
      </c>
      <c r="R37">
        <v>2</v>
      </c>
      <c r="S37">
        <v>811</v>
      </c>
      <c r="T37">
        <v>2</v>
      </c>
      <c r="W37" t="s">
        <v>189</v>
      </c>
      <c r="Y37" t="s">
        <v>32</v>
      </c>
      <c r="Z37">
        <v>439</v>
      </c>
      <c r="AA37">
        <v>615</v>
      </c>
      <c r="AB37" s="2">
        <v>45967.769560185188</v>
      </c>
      <c r="AC37" s="2">
        <v>45967.761944444443</v>
      </c>
      <c r="AD37" s="2">
        <v>45967.769560185188</v>
      </c>
      <c r="AE37">
        <v>2</v>
      </c>
      <c r="AF37" t="s">
        <v>21</v>
      </c>
      <c r="AG37">
        <v>0</v>
      </c>
      <c r="AK37">
        <v>0</v>
      </c>
      <c r="AN37" t="s">
        <v>200</v>
      </c>
    </row>
    <row r="38" spans="1:40" x14ac:dyDescent="0.35">
      <c r="A38">
        <v>441</v>
      </c>
      <c r="B38">
        <v>397</v>
      </c>
      <c r="C38" t="s">
        <v>191</v>
      </c>
      <c r="E38">
        <v>6</v>
      </c>
      <c r="F38">
        <v>6</v>
      </c>
      <c r="G38" t="s">
        <v>192</v>
      </c>
      <c r="I38" t="s">
        <v>32</v>
      </c>
      <c r="J38">
        <v>1</v>
      </c>
      <c r="K38" t="s">
        <v>21</v>
      </c>
      <c r="L38" t="s">
        <v>21</v>
      </c>
      <c r="M38" t="s">
        <v>32</v>
      </c>
      <c r="N38">
        <v>1</v>
      </c>
      <c r="O38">
        <v>-1</v>
      </c>
      <c r="P38" t="s">
        <v>21</v>
      </c>
      <c r="Q38" t="s">
        <v>21</v>
      </c>
      <c r="R38">
        <v>2</v>
      </c>
      <c r="S38">
        <v>815</v>
      </c>
      <c r="T38">
        <v>2</v>
      </c>
      <c r="W38" t="s">
        <v>193</v>
      </c>
      <c r="X38">
        <v>0</v>
      </c>
      <c r="Y38" t="s">
        <v>32</v>
      </c>
      <c r="AA38">
        <v>616</v>
      </c>
      <c r="AB38" s="2">
        <v>45967.769548611112</v>
      </c>
      <c r="AC38" s="2">
        <v>45967.761944444443</v>
      </c>
      <c r="AD38" s="2">
        <v>45967.769548611112</v>
      </c>
      <c r="AE38">
        <v>2</v>
      </c>
      <c r="AF38" t="s">
        <v>21</v>
      </c>
      <c r="AG38">
        <v>0</v>
      </c>
      <c r="AK38">
        <v>0</v>
      </c>
      <c r="AN38" t="s">
        <v>201</v>
      </c>
    </row>
    <row r="39" spans="1:40" x14ac:dyDescent="0.35">
      <c r="A39">
        <v>401</v>
      </c>
      <c r="B39">
        <v>400</v>
      </c>
      <c r="C39" t="s">
        <v>134</v>
      </c>
      <c r="E39">
        <v>6</v>
      </c>
      <c r="F39">
        <v>19</v>
      </c>
      <c r="I39" t="s">
        <v>32</v>
      </c>
      <c r="J39">
        <v>1</v>
      </c>
      <c r="K39" t="s">
        <v>32</v>
      </c>
      <c r="L39" t="s">
        <v>32</v>
      </c>
      <c r="M39" t="s">
        <v>21</v>
      </c>
      <c r="N39">
        <v>1</v>
      </c>
      <c r="O39">
        <v>-1</v>
      </c>
      <c r="P39" t="s">
        <v>21</v>
      </c>
      <c r="Q39" t="s">
        <v>21</v>
      </c>
      <c r="R39">
        <v>1</v>
      </c>
      <c r="S39">
        <v>719</v>
      </c>
      <c r="T39">
        <v>3</v>
      </c>
      <c r="Y39" t="s">
        <v>32</v>
      </c>
      <c r="AA39">
        <v>402</v>
      </c>
      <c r="AB39" s="2">
        <v>45967.761944444443</v>
      </c>
      <c r="AC39" s="2">
        <v>45967.761944444443</v>
      </c>
      <c r="AD39" t="s">
        <v>135</v>
      </c>
      <c r="AE39">
        <v>0</v>
      </c>
      <c r="AF39" t="s">
        <v>21</v>
      </c>
      <c r="AG39">
        <v>0</v>
      </c>
      <c r="AK39">
        <v>0</v>
      </c>
    </row>
    <row r="40" spans="1:40" x14ac:dyDescent="0.35">
      <c r="A40">
        <v>444</v>
      </c>
      <c r="B40">
        <v>400</v>
      </c>
      <c r="C40" t="s">
        <v>136</v>
      </c>
      <c r="E40">
        <v>2</v>
      </c>
      <c r="F40">
        <v>19</v>
      </c>
      <c r="I40" t="s">
        <v>21</v>
      </c>
      <c r="J40">
        <v>1</v>
      </c>
      <c r="K40" t="s">
        <v>21</v>
      </c>
      <c r="L40" t="s">
        <v>21</v>
      </c>
      <c r="M40" t="s">
        <v>32</v>
      </c>
      <c r="N40">
        <v>1</v>
      </c>
      <c r="O40">
        <v>-1</v>
      </c>
      <c r="P40" t="s">
        <v>21</v>
      </c>
      <c r="Q40" t="s">
        <v>21</v>
      </c>
      <c r="R40">
        <v>2</v>
      </c>
      <c r="S40">
        <v>827</v>
      </c>
      <c r="T40">
        <v>1</v>
      </c>
      <c r="U40" t="s">
        <v>136</v>
      </c>
      <c r="Y40" t="s">
        <v>32</v>
      </c>
      <c r="AA40">
        <v>619</v>
      </c>
      <c r="AB40" s="2">
        <v>45967.761944444443</v>
      </c>
      <c r="AC40" s="2">
        <v>45967.761944444443</v>
      </c>
      <c r="AD40" t="s">
        <v>135</v>
      </c>
      <c r="AE40">
        <v>0</v>
      </c>
      <c r="AF40" t="s">
        <v>21</v>
      </c>
      <c r="AG40">
        <v>0</v>
      </c>
      <c r="AK40">
        <v>0</v>
      </c>
      <c r="AN40" t="s">
        <v>202</v>
      </c>
    </row>
    <row r="41" spans="1:40" x14ac:dyDescent="0.35">
      <c r="A41">
        <v>445</v>
      </c>
      <c r="B41">
        <v>400</v>
      </c>
      <c r="C41" t="s">
        <v>155</v>
      </c>
      <c r="E41">
        <v>2</v>
      </c>
      <c r="F41">
        <v>19</v>
      </c>
      <c r="I41" t="s">
        <v>21</v>
      </c>
      <c r="J41">
        <v>1</v>
      </c>
      <c r="K41" t="s">
        <v>21</v>
      </c>
      <c r="L41" t="s">
        <v>21</v>
      </c>
      <c r="M41" t="s">
        <v>32</v>
      </c>
      <c r="N41">
        <v>1</v>
      </c>
      <c r="O41">
        <v>-1</v>
      </c>
      <c r="P41" t="s">
        <v>21</v>
      </c>
      <c r="Q41" t="s">
        <v>21</v>
      </c>
      <c r="R41">
        <v>2</v>
      </c>
      <c r="S41">
        <v>831</v>
      </c>
      <c r="T41">
        <v>1</v>
      </c>
      <c r="U41" t="s">
        <v>155</v>
      </c>
      <c r="Y41" t="s">
        <v>32</v>
      </c>
      <c r="AA41">
        <v>620</v>
      </c>
      <c r="AB41" s="2">
        <v>45967.761944444443</v>
      </c>
      <c r="AC41" s="2">
        <v>45967.761944444443</v>
      </c>
      <c r="AD41" t="s">
        <v>135</v>
      </c>
      <c r="AE41">
        <v>0</v>
      </c>
      <c r="AF41" t="s">
        <v>21</v>
      </c>
      <c r="AG41">
        <v>0</v>
      </c>
      <c r="AK41">
        <v>0</v>
      </c>
      <c r="AN41" t="s">
        <v>203</v>
      </c>
    </row>
    <row r="42" spans="1:40" x14ac:dyDescent="0.35">
      <c r="A42">
        <v>446</v>
      </c>
      <c r="B42">
        <v>400</v>
      </c>
      <c r="C42" t="s">
        <v>153</v>
      </c>
      <c r="E42">
        <v>2</v>
      </c>
      <c r="F42">
        <v>19</v>
      </c>
      <c r="I42" t="s">
        <v>21</v>
      </c>
      <c r="J42">
        <v>1</v>
      </c>
      <c r="K42" t="s">
        <v>21</v>
      </c>
      <c r="L42" t="s">
        <v>21</v>
      </c>
      <c r="M42" t="s">
        <v>32</v>
      </c>
      <c r="N42">
        <v>1</v>
      </c>
      <c r="O42">
        <v>-1</v>
      </c>
      <c r="P42" t="s">
        <v>21</v>
      </c>
      <c r="Q42" t="s">
        <v>21</v>
      </c>
      <c r="R42">
        <v>2</v>
      </c>
      <c r="S42">
        <v>835</v>
      </c>
      <c r="T42">
        <v>1</v>
      </c>
      <c r="U42" t="s">
        <v>153</v>
      </c>
      <c r="Y42" t="s">
        <v>32</v>
      </c>
      <c r="AA42">
        <v>621</v>
      </c>
      <c r="AB42" s="2">
        <v>45967.761944444443</v>
      </c>
      <c r="AC42" s="2">
        <v>45967.761944444443</v>
      </c>
      <c r="AD42" t="s">
        <v>135</v>
      </c>
      <c r="AE42">
        <v>0</v>
      </c>
      <c r="AF42" t="s">
        <v>21</v>
      </c>
      <c r="AG42">
        <v>0</v>
      </c>
      <c r="AK42">
        <v>0</v>
      </c>
      <c r="AN42" t="s">
        <v>204</v>
      </c>
    </row>
    <row r="43" spans="1:40" x14ac:dyDescent="0.35">
      <c r="A43">
        <v>447</v>
      </c>
      <c r="B43">
        <v>400</v>
      </c>
      <c r="C43" t="s">
        <v>164</v>
      </c>
      <c r="E43">
        <v>6</v>
      </c>
      <c r="F43">
        <v>19</v>
      </c>
      <c r="I43" t="s">
        <v>21</v>
      </c>
      <c r="J43">
        <v>1</v>
      </c>
      <c r="K43" t="s">
        <v>21</v>
      </c>
      <c r="L43" t="s">
        <v>21</v>
      </c>
      <c r="M43" t="s">
        <v>32</v>
      </c>
      <c r="N43">
        <v>1</v>
      </c>
      <c r="O43">
        <v>-1</v>
      </c>
      <c r="P43" t="s">
        <v>21</v>
      </c>
      <c r="Q43" t="s">
        <v>21</v>
      </c>
      <c r="R43">
        <v>3</v>
      </c>
      <c r="S43">
        <v>839</v>
      </c>
      <c r="T43">
        <v>1</v>
      </c>
      <c r="U43" t="s">
        <v>164</v>
      </c>
      <c r="X43">
        <v>0</v>
      </c>
      <c r="Y43" t="s">
        <v>32</v>
      </c>
      <c r="AA43">
        <v>622</v>
      </c>
      <c r="AB43" s="2">
        <v>45967.761944444443</v>
      </c>
      <c r="AC43" s="2">
        <v>45967.761944444443</v>
      </c>
      <c r="AD43" t="s">
        <v>135</v>
      </c>
      <c r="AE43">
        <v>0</v>
      </c>
      <c r="AF43" t="s">
        <v>21</v>
      </c>
      <c r="AG43">
        <v>0</v>
      </c>
      <c r="AK43">
        <v>0</v>
      </c>
      <c r="AN43" t="s">
        <v>205</v>
      </c>
    </row>
    <row r="44" spans="1:40" x14ac:dyDescent="0.35">
      <c r="A44">
        <v>404</v>
      </c>
      <c r="B44">
        <v>403</v>
      </c>
      <c r="C44" t="s">
        <v>134</v>
      </c>
      <c r="E44">
        <v>6</v>
      </c>
      <c r="F44">
        <v>19</v>
      </c>
      <c r="I44" t="s">
        <v>32</v>
      </c>
      <c r="J44">
        <v>1</v>
      </c>
      <c r="K44" t="s">
        <v>32</v>
      </c>
      <c r="L44" t="s">
        <v>32</v>
      </c>
      <c r="M44" t="s">
        <v>21</v>
      </c>
      <c r="N44">
        <v>1</v>
      </c>
      <c r="O44">
        <v>-1</v>
      </c>
      <c r="P44" t="s">
        <v>21</v>
      </c>
      <c r="Q44" t="s">
        <v>21</v>
      </c>
      <c r="R44">
        <v>1</v>
      </c>
      <c r="S44">
        <v>723</v>
      </c>
      <c r="T44">
        <v>3</v>
      </c>
      <c r="Y44" t="s">
        <v>32</v>
      </c>
      <c r="AA44">
        <v>405</v>
      </c>
      <c r="AB44" s="2">
        <v>45967.761944444443</v>
      </c>
      <c r="AC44" s="2">
        <v>45967.761944444443</v>
      </c>
      <c r="AD44" t="s">
        <v>135</v>
      </c>
      <c r="AE44">
        <v>0</v>
      </c>
      <c r="AF44" t="s">
        <v>21</v>
      </c>
      <c r="AG44">
        <v>0</v>
      </c>
      <c r="AK44">
        <v>0</v>
      </c>
    </row>
    <row r="45" spans="1:40" x14ac:dyDescent="0.35">
      <c r="A45">
        <v>448</v>
      </c>
      <c r="B45">
        <v>403</v>
      </c>
      <c r="C45" t="s">
        <v>151</v>
      </c>
      <c r="E45">
        <v>2</v>
      </c>
      <c r="F45">
        <v>19</v>
      </c>
      <c r="I45" t="s">
        <v>21</v>
      </c>
      <c r="J45">
        <v>1</v>
      </c>
      <c r="K45" t="s">
        <v>21</v>
      </c>
      <c r="L45" t="s">
        <v>21</v>
      </c>
      <c r="M45" t="s">
        <v>32</v>
      </c>
      <c r="N45">
        <v>1</v>
      </c>
      <c r="O45">
        <v>-1</v>
      </c>
      <c r="P45" t="s">
        <v>21</v>
      </c>
      <c r="Q45" t="s">
        <v>21</v>
      </c>
      <c r="R45">
        <v>2</v>
      </c>
      <c r="S45">
        <v>843</v>
      </c>
      <c r="T45">
        <v>1</v>
      </c>
      <c r="U45" t="s">
        <v>151</v>
      </c>
      <c r="Y45" t="s">
        <v>32</v>
      </c>
      <c r="AA45">
        <v>623</v>
      </c>
      <c r="AB45" s="2">
        <v>45967.761944444443</v>
      </c>
      <c r="AC45" s="2">
        <v>45967.761944444443</v>
      </c>
      <c r="AD45" t="s">
        <v>135</v>
      </c>
      <c r="AE45">
        <v>0</v>
      </c>
      <c r="AF45" t="s">
        <v>21</v>
      </c>
      <c r="AG45">
        <v>0</v>
      </c>
      <c r="AK45">
        <v>0</v>
      </c>
      <c r="AN45" t="s">
        <v>206</v>
      </c>
    </row>
    <row r="46" spans="1:40" x14ac:dyDescent="0.35">
      <c r="A46">
        <v>407</v>
      </c>
      <c r="B46">
        <v>406</v>
      </c>
      <c r="C46" t="s">
        <v>134</v>
      </c>
      <c r="E46">
        <v>6</v>
      </c>
      <c r="F46">
        <v>19</v>
      </c>
      <c r="I46" t="s">
        <v>32</v>
      </c>
      <c r="J46">
        <v>1</v>
      </c>
      <c r="K46" t="s">
        <v>32</v>
      </c>
      <c r="L46" t="s">
        <v>32</v>
      </c>
      <c r="M46" t="s">
        <v>21</v>
      </c>
      <c r="N46">
        <v>1</v>
      </c>
      <c r="O46">
        <v>-1</v>
      </c>
      <c r="P46" t="s">
        <v>21</v>
      </c>
      <c r="Q46" t="s">
        <v>21</v>
      </c>
      <c r="R46">
        <v>1</v>
      </c>
      <c r="S46">
        <v>727</v>
      </c>
      <c r="T46">
        <v>3</v>
      </c>
      <c r="Y46" t="s">
        <v>32</v>
      </c>
      <c r="AA46">
        <v>408</v>
      </c>
      <c r="AB46" s="2">
        <v>45967.761944444443</v>
      </c>
      <c r="AC46" s="2">
        <v>45967.761944444443</v>
      </c>
      <c r="AD46" t="s">
        <v>135</v>
      </c>
      <c r="AE46">
        <v>0</v>
      </c>
      <c r="AF46" t="s">
        <v>21</v>
      </c>
      <c r="AG46">
        <v>0</v>
      </c>
      <c r="AK46">
        <v>0</v>
      </c>
    </row>
    <row r="47" spans="1:40" x14ac:dyDescent="0.35">
      <c r="A47">
        <v>449</v>
      </c>
      <c r="B47">
        <v>406</v>
      </c>
      <c r="C47" t="s">
        <v>140</v>
      </c>
      <c r="E47">
        <v>2</v>
      </c>
      <c r="F47">
        <v>19</v>
      </c>
      <c r="I47" t="s">
        <v>21</v>
      </c>
      <c r="J47">
        <v>1</v>
      </c>
      <c r="K47" t="s">
        <v>21</v>
      </c>
      <c r="L47" t="s">
        <v>21</v>
      </c>
      <c r="M47" t="s">
        <v>32</v>
      </c>
      <c r="N47">
        <v>1</v>
      </c>
      <c r="O47">
        <v>-1</v>
      </c>
      <c r="P47" t="s">
        <v>21</v>
      </c>
      <c r="Q47" t="s">
        <v>21</v>
      </c>
      <c r="R47">
        <v>2</v>
      </c>
      <c r="S47">
        <v>847</v>
      </c>
      <c r="T47">
        <v>1</v>
      </c>
      <c r="U47" t="s">
        <v>140</v>
      </c>
      <c r="Y47" t="s">
        <v>32</v>
      </c>
      <c r="AA47">
        <v>624</v>
      </c>
      <c r="AB47" s="2">
        <v>45967.761944444443</v>
      </c>
      <c r="AC47" s="2">
        <v>45967.761944444443</v>
      </c>
      <c r="AD47" t="s">
        <v>135</v>
      </c>
      <c r="AE47">
        <v>0</v>
      </c>
      <c r="AF47" t="s">
        <v>21</v>
      </c>
      <c r="AG47">
        <v>0</v>
      </c>
      <c r="AK47">
        <v>0</v>
      </c>
      <c r="AN47" t="s">
        <v>207</v>
      </c>
    </row>
    <row r="48" spans="1:40" x14ac:dyDescent="0.35">
      <c r="A48">
        <v>450</v>
      </c>
      <c r="B48">
        <v>406</v>
      </c>
      <c r="C48" t="s">
        <v>208</v>
      </c>
      <c r="E48">
        <v>2</v>
      </c>
      <c r="F48">
        <v>19</v>
      </c>
      <c r="I48" t="s">
        <v>21</v>
      </c>
      <c r="J48">
        <v>1</v>
      </c>
      <c r="K48" t="s">
        <v>21</v>
      </c>
      <c r="L48" t="s">
        <v>21</v>
      </c>
      <c r="M48" t="s">
        <v>32</v>
      </c>
      <c r="N48">
        <v>1</v>
      </c>
      <c r="O48">
        <v>-1</v>
      </c>
      <c r="P48" t="s">
        <v>21</v>
      </c>
      <c r="Q48" t="s">
        <v>21</v>
      </c>
      <c r="R48">
        <v>2</v>
      </c>
      <c r="S48">
        <v>851</v>
      </c>
      <c r="T48">
        <v>1</v>
      </c>
      <c r="U48" t="s">
        <v>208</v>
      </c>
      <c r="Y48" t="s">
        <v>32</v>
      </c>
      <c r="AA48">
        <v>625</v>
      </c>
      <c r="AB48" s="2">
        <v>45967.761944444443</v>
      </c>
      <c r="AC48" s="2">
        <v>45967.761944444443</v>
      </c>
      <c r="AD48" t="s">
        <v>135</v>
      </c>
      <c r="AE48">
        <v>0</v>
      </c>
      <c r="AF48" t="s">
        <v>21</v>
      </c>
      <c r="AG48">
        <v>0</v>
      </c>
      <c r="AK48">
        <v>0</v>
      </c>
      <c r="AN48" t="s">
        <v>209</v>
      </c>
    </row>
    <row r="49" spans="1:40" x14ac:dyDescent="0.35">
      <c r="A49">
        <v>451</v>
      </c>
      <c r="B49">
        <v>406</v>
      </c>
      <c r="C49" t="s">
        <v>210</v>
      </c>
      <c r="E49">
        <v>6</v>
      </c>
      <c r="F49">
        <v>19</v>
      </c>
      <c r="I49" t="s">
        <v>21</v>
      </c>
      <c r="J49">
        <v>1</v>
      </c>
      <c r="K49" t="s">
        <v>21</v>
      </c>
      <c r="L49" t="s">
        <v>21</v>
      </c>
      <c r="M49" t="s">
        <v>32</v>
      </c>
      <c r="N49">
        <v>1</v>
      </c>
      <c r="O49">
        <v>-1</v>
      </c>
      <c r="P49" t="s">
        <v>21</v>
      </c>
      <c r="Q49" t="s">
        <v>21</v>
      </c>
      <c r="R49">
        <v>3</v>
      </c>
      <c r="S49">
        <v>855</v>
      </c>
      <c r="T49">
        <v>1</v>
      </c>
      <c r="U49" t="s">
        <v>210</v>
      </c>
      <c r="X49">
        <v>0</v>
      </c>
      <c r="Y49" t="s">
        <v>32</v>
      </c>
      <c r="AA49">
        <v>626</v>
      </c>
      <c r="AB49" s="2">
        <v>45967.761944444443</v>
      </c>
      <c r="AC49" s="2">
        <v>45967.761944444443</v>
      </c>
      <c r="AD49" t="s">
        <v>135</v>
      </c>
      <c r="AE49">
        <v>0</v>
      </c>
      <c r="AF49" t="s">
        <v>21</v>
      </c>
      <c r="AG49">
        <v>0</v>
      </c>
      <c r="AK49">
        <v>0</v>
      </c>
      <c r="AN49" t="s">
        <v>211</v>
      </c>
    </row>
    <row r="50" spans="1:40" x14ac:dyDescent="0.35">
      <c r="A50">
        <v>452</v>
      </c>
      <c r="B50">
        <v>406</v>
      </c>
      <c r="C50" t="s">
        <v>212</v>
      </c>
      <c r="E50">
        <v>9</v>
      </c>
      <c r="F50">
        <v>19</v>
      </c>
      <c r="I50" t="s">
        <v>21</v>
      </c>
      <c r="J50">
        <v>1</v>
      </c>
      <c r="K50" t="s">
        <v>21</v>
      </c>
      <c r="L50" t="s">
        <v>21</v>
      </c>
      <c r="M50" t="s">
        <v>32</v>
      </c>
      <c r="N50">
        <v>1</v>
      </c>
      <c r="O50">
        <v>-1</v>
      </c>
      <c r="P50" t="s">
        <v>21</v>
      </c>
      <c r="Q50" t="s">
        <v>21</v>
      </c>
      <c r="R50">
        <v>2</v>
      </c>
      <c r="S50">
        <v>859</v>
      </c>
      <c r="T50">
        <v>1</v>
      </c>
      <c r="U50" t="s">
        <v>212</v>
      </c>
      <c r="X50" t="s">
        <v>160</v>
      </c>
      <c r="Y50" t="s">
        <v>32</v>
      </c>
      <c r="AA50">
        <v>627</v>
      </c>
      <c r="AB50" s="2">
        <v>45967.761944444443</v>
      </c>
      <c r="AC50" s="2">
        <v>45967.761944444443</v>
      </c>
      <c r="AD50" t="s">
        <v>135</v>
      </c>
      <c r="AE50">
        <v>0</v>
      </c>
      <c r="AF50" t="s">
        <v>21</v>
      </c>
      <c r="AG50">
        <v>0</v>
      </c>
      <c r="AK50">
        <v>0</v>
      </c>
      <c r="AN50" t="s">
        <v>213</v>
      </c>
    </row>
    <row r="51" spans="1:40" x14ac:dyDescent="0.35">
      <c r="A51">
        <v>460</v>
      </c>
      <c r="B51">
        <v>406</v>
      </c>
      <c r="C51" t="s">
        <v>214</v>
      </c>
      <c r="E51">
        <v>9</v>
      </c>
      <c r="F51">
        <v>19</v>
      </c>
      <c r="I51" t="s">
        <v>21</v>
      </c>
      <c r="J51">
        <v>1</v>
      </c>
      <c r="K51" t="s">
        <v>21</v>
      </c>
      <c r="L51" t="s">
        <v>21</v>
      </c>
      <c r="M51" t="s">
        <v>32</v>
      </c>
      <c r="N51">
        <v>1</v>
      </c>
      <c r="O51">
        <v>-1</v>
      </c>
      <c r="P51" t="s">
        <v>21</v>
      </c>
      <c r="Q51" t="s">
        <v>21</v>
      </c>
      <c r="R51">
        <v>2</v>
      </c>
      <c r="S51">
        <v>891</v>
      </c>
      <c r="T51">
        <v>1</v>
      </c>
      <c r="U51" t="s">
        <v>214</v>
      </c>
      <c r="X51" t="s">
        <v>160</v>
      </c>
      <c r="Y51" t="s">
        <v>32</v>
      </c>
      <c r="AA51">
        <v>635</v>
      </c>
      <c r="AB51" s="2">
        <v>45967.761944444443</v>
      </c>
      <c r="AC51" s="2">
        <v>45967.761944444443</v>
      </c>
      <c r="AD51" t="s">
        <v>135</v>
      </c>
      <c r="AE51">
        <v>0</v>
      </c>
      <c r="AF51" t="s">
        <v>21</v>
      </c>
      <c r="AG51">
        <v>0</v>
      </c>
      <c r="AK51">
        <v>0</v>
      </c>
      <c r="AN51" t="s">
        <v>215</v>
      </c>
    </row>
    <row r="52" spans="1:40" x14ac:dyDescent="0.35">
      <c r="A52">
        <v>468</v>
      </c>
      <c r="B52">
        <v>406</v>
      </c>
      <c r="C52" t="s">
        <v>216</v>
      </c>
      <c r="E52">
        <v>6</v>
      </c>
      <c r="F52">
        <v>19</v>
      </c>
      <c r="I52" t="s">
        <v>21</v>
      </c>
      <c r="J52">
        <v>1</v>
      </c>
      <c r="K52" t="s">
        <v>21</v>
      </c>
      <c r="L52" t="s">
        <v>21</v>
      </c>
      <c r="M52" t="s">
        <v>32</v>
      </c>
      <c r="N52">
        <v>1</v>
      </c>
      <c r="O52">
        <v>-1</v>
      </c>
      <c r="P52" t="s">
        <v>21</v>
      </c>
      <c r="Q52" t="s">
        <v>21</v>
      </c>
      <c r="R52">
        <v>3</v>
      </c>
      <c r="S52">
        <v>923</v>
      </c>
      <c r="T52">
        <v>1</v>
      </c>
      <c r="U52" t="s">
        <v>216</v>
      </c>
      <c r="X52">
        <v>0</v>
      </c>
      <c r="Y52" t="s">
        <v>32</v>
      </c>
      <c r="AA52">
        <v>643</v>
      </c>
      <c r="AB52" s="2">
        <v>45967.761944444443</v>
      </c>
      <c r="AC52" s="2">
        <v>45967.761944444443</v>
      </c>
      <c r="AD52" t="s">
        <v>135</v>
      </c>
      <c r="AE52">
        <v>0</v>
      </c>
      <c r="AF52" t="s">
        <v>21</v>
      </c>
      <c r="AG52">
        <v>0</v>
      </c>
      <c r="AK52">
        <v>0</v>
      </c>
      <c r="AN52" t="s">
        <v>217</v>
      </c>
    </row>
    <row r="53" spans="1:40" x14ac:dyDescent="0.35">
      <c r="A53">
        <v>410</v>
      </c>
      <c r="B53">
        <v>409</v>
      </c>
      <c r="C53" t="s">
        <v>134</v>
      </c>
      <c r="E53">
        <v>6</v>
      </c>
      <c r="F53">
        <v>19</v>
      </c>
      <c r="I53" t="s">
        <v>32</v>
      </c>
      <c r="J53">
        <v>1</v>
      </c>
      <c r="K53" t="s">
        <v>32</v>
      </c>
      <c r="L53" t="s">
        <v>32</v>
      </c>
      <c r="M53" t="s">
        <v>21</v>
      </c>
      <c r="N53">
        <v>1</v>
      </c>
      <c r="O53">
        <v>-1</v>
      </c>
      <c r="P53" t="s">
        <v>21</v>
      </c>
      <c r="Q53" t="s">
        <v>21</v>
      </c>
      <c r="R53">
        <v>1</v>
      </c>
      <c r="S53">
        <v>731</v>
      </c>
      <c r="T53">
        <v>3</v>
      </c>
      <c r="Y53" t="s">
        <v>32</v>
      </c>
      <c r="AA53">
        <v>411</v>
      </c>
      <c r="AB53" s="2">
        <v>45967.769548611112</v>
      </c>
      <c r="AC53" s="2">
        <v>45967.761944444443</v>
      </c>
      <c r="AD53" t="s">
        <v>135</v>
      </c>
      <c r="AE53">
        <v>2</v>
      </c>
      <c r="AF53" t="s">
        <v>21</v>
      </c>
      <c r="AG53">
        <v>0</v>
      </c>
      <c r="AK53">
        <v>0</v>
      </c>
    </row>
    <row r="54" spans="1:40" x14ac:dyDescent="0.35">
      <c r="A54">
        <v>453</v>
      </c>
      <c r="B54">
        <v>409</v>
      </c>
      <c r="D54" t="s">
        <v>166</v>
      </c>
      <c r="E54">
        <v>9</v>
      </c>
      <c r="F54">
        <v>9</v>
      </c>
      <c r="G54" t="s">
        <v>167</v>
      </c>
      <c r="I54" t="s">
        <v>32</v>
      </c>
      <c r="J54">
        <v>1</v>
      </c>
      <c r="K54" t="s">
        <v>21</v>
      </c>
      <c r="L54" t="s">
        <v>21</v>
      </c>
      <c r="M54" t="s">
        <v>32</v>
      </c>
      <c r="N54">
        <v>1</v>
      </c>
      <c r="O54">
        <v>-1</v>
      </c>
      <c r="P54" t="s">
        <v>21</v>
      </c>
      <c r="Q54" t="s">
        <v>21</v>
      </c>
      <c r="R54">
        <v>2</v>
      </c>
      <c r="S54">
        <v>863</v>
      </c>
      <c r="T54">
        <v>4</v>
      </c>
      <c r="U54" t="s">
        <v>168</v>
      </c>
      <c r="X54" t="s">
        <v>169</v>
      </c>
      <c r="Y54" t="s">
        <v>32</v>
      </c>
      <c r="AA54">
        <v>628</v>
      </c>
      <c r="AB54" s="2">
        <v>45967.769548611112</v>
      </c>
      <c r="AC54" s="2">
        <v>45967.761944444443</v>
      </c>
      <c r="AD54" t="s">
        <v>135</v>
      </c>
      <c r="AE54">
        <v>2</v>
      </c>
      <c r="AF54" t="s">
        <v>21</v>
      </c>
      <c r="AG54">
        <v>0</v>
      </c>
      <c r="AK54">
        <v>0</v>
      </c>
      <c r="AN54" t="s">
        <v>218</v>
      </c>
    </row>
    <row r="55" spans="1:40" x14ac:dyDescent="0.35">
      <c r="A55">
        <v>454</v>
      </c>
      <c r="B55">
        <v>409</v>
      </c>
      <c r="C55" t="s">
        <v>171</v>
      </c>
      <c r="E55">
        <v>6</v>
      </c>
      <c r="F55">
        <v>6</v>
      </c>
      <c r="G55" t="s">
        <v>172</v>
      </c>
      <c r="I55" t="s">
        <v>32</v>
      </c>
      <c r="J55">
        <v>1</v>
      </c>
      <c r="K55" t="s">
        <v>21</v>
      </c>
      <c r="L55" t="s">
        <v>21</v>
      </c>
      <c r="M55" t="s">
        <v>32</v>
      </c>
      <c r="N55">
        <v>1</v>
      </c>
      <c r="O55">
        <v>-1</v>
      </c>
      <c r="P55" t="s">
        <v>21</v>
      </c>
      <c r="Q55" t="s">
        <v>21</v>
      </c>
      <c r="R55">
        <v>2</v>
      </c>
      <c r="S55">
        <v>867</v>
      </c>
      <c r="T55">
        <v>2</v>
      </c>
      <c r="W55" t="s">
        <v>173</v>
      </c>
      <c r="X55">
        <v>0</v>
      </c>
      <c r="Y55" t="s">
        <v>32</v>
      </c>
      <c r="AA55">
        <v>629</v>
      </c>
      <c r="AB55" s="2">
        <v>45967.769548611112</v>
      </c>
      <c r="AC55" s="2">
        <v>45967.761944444443</v>
      </c>
      <c r="AD55" s="2">
        <v>45967.769548611112</v>
      </c>
      <c r="AE55">
        <v>2</v>
      </c>
      <c r="AF55" t="s">
        <v>21</v>
      </c>
      <c r="AG55">
        <v>0</v>
      </c>
      <c r="AK55">
        <v>0</v>
      </c>
      <c r="AN55" t="s">
        <v>219</v>
      </c>
    </row>
    <row r="56" spans="1:40" x14ac:dyDescent="0.35">
      <c r="A56">
        <v>455</v>
      </c>
      <c r="B56">
        <v>409</v>
      </c>
      <c r="C56" t="s">
        <v>175</v>
      </c>
      <c r="E56">
        <v>6</v>
      </c>
      <c r="F56">
        <v>6</v>
      </c>
      <c r="G56" t="s">
        <v>176</v>
      </c>
      <c r="I56" t="s">
        <v>32</v>
      </c>
      <c r="J56">
        <v>1</v>
      </c>
      <c r="K56" t="s">
        <v>21</v>
      </c>
      <c r="L56" t="s">
        <v>21</v>
      </c>
      <c r="M56" t="s">
        <v>32</v>
      </c>
      <c r="N56">
        <v>1</v>
      </c>
      <c r="O56">
        <v>-1</v>
      </c>
      <c r="P56" t="s">
        <v>21</v>
      </c>
      <c r="Q56" t="s">
        <v>21</v>
      </c>
      <c r="R56">
        <v>2</v>
      </c>
      <c r="S56">
        <v>871</v>
      </c>
      <c r="T56">
        <v>2</v>
      </c>
      <c r="W56" t="s">
        <v>177</v>
      </c>
      <c r="X56">
        <v>0</v>
      </c>
      <c r="Y56" t="s">
        <v>32</v>
      </c>
      <c r="AA56">
        <v>630</v>
      </c>
      <c r="AB56" s="2">
        <v>45967.769548611112</v>
      </c>
      <c r="AC56" s="2">
        <v>45967.761944444443</v>
      </c>
      <c r="AD56" s="2">
        <v>45967.769548611112</v>
      </c>
      <c r="AE56">
        <v>2</v>
      </c>
      <c r="AF56" t="s">
        <v>21</v>
      </c>
      <c r="AG56">
        <v>0</v>
      </c>
      <c r="AK56">
        <v>0</v>
      </c>
      <c r="AN56" t="s">
        <v>220</v>
      </c>
    </row>
    <row r="57" spans="1:40" x14ac:dyDescent="0.35">
      <c r="A57">
        <v>456</v>
      </c>
      <c r="B57">
        <v>409</v>
      </c>
      <c r="C57" t="s">
        <v>179</v>
      </c>
      <c r="E57">
        <v>2</v>
      </c>
      <c r="F57">
        <v>2</v>
      </c>
      <c r="G57" t="s">
        <v>180</v>
      </c>
      <c r="I57" t="s">
        <v>32</v>
      </c>
      <c r="J57">
        <v>1</v>
      </c>
      <c r="K57" t="s">
        <v>21</v>
      </c>
      <c r="L57" t="s">
        <v>21</v>
      </c>
      <c r="M57" t="s">
        <v>32</v>
      </c>
      <c r="N57">
        <v>1</v>
      </c>
      <c r="O57">
        <v>-1</v>
      </c>
      <c r="P57" t="s">
        <v>21</v>
      </c>
      <c r="Q57" t="s">
        <v>21</v>
      </c>
      <c r="R57">
        <v>2</v>
      </c>
      <c r="S57">
        <v>875</v>
      </c>
      <c r="T57">
        <v>2</v>
      </c>
      <c r="W57" t="s">
        <v>181</v>
      </c>
      <c r="Y57" t="s">
        <v>32</v>
      </c>
      <c r="Z57">
        <v>455</v>
      </c>
      <c r="AA57">
        <v>631</v>
      </c>
      <c r="AB57" s="2">
        <v>45967.769548611112</v>
      </c>
      <c r="AC57" s="2">
        <v>45967.761944444443</v>
      </c>
      <c r="AD57" s="2">
        <v>45967.769548611112</v>
      </c>
      <c r="AE57">
        <v>2</v>
      </c>
      <c r="AF57" t="s">
        <v>21</v>
      </c>
      <c r="AG57">
        <v>0</v>
      </c>
      <c r="AK57">
        <v>0</v>
      </c>
      <c r="AN57" t="s">
        <v>221</v>
      </c>
    </row>
    <row r="58" spans="1:40" x14ac:dyDescent="0.35">
      <c r="A58">
        <v>457</v>
      </c>
      <c r="B58">
        <v>409</v>
      </c>
      <c r="C58" t="s">
        <v>183</v>
      </c>
      <c r="E58">
        <v>6</v>
      </c>
      <c r="F58">
        <v>6</v>
      </c>
      <c r="G58" t="s">
        <v>184</v>
      </c>
      <c r="I58" t="s">
        <v>32</v>
      </c>
      <c r="J58">
        <v>1</v>
      </c>
      <c r="K58" t="s">
        <v>21</v>
      </c>
      <c r="L58" t="s">
        <v>21</v>
      </c>
      <c r="M58" t="s">
        <v>32</v>
      </c>
      <c r="N58">
        <v>1</v>
      </c>
      <c r="O58">
        <v>-1</v>
      </c>
      <c r="P58" t="s">
        <v>21</v>
      </c>
      <c r="Q58" t="s">
        <v>21</v>
      </c>
      <c r="R58">
        <v>2</v>
      </c>
      <c r="S58">
        <v>879</v>
      </c>
      <c r="T58">
        <v>2</v>
      </c>
      <c r="W58" t="s">
        <v>185</v>
      </c>
      <c r="X58">
        <v>0</v>
      </c>
      <c r="Y58" t="s">
        <v>32</v>
      </c>
      <c r="AA58">
        <v>632</v>
      </c>
      <c r="AB58" s="2">
        <v>45967.769548611112</v>
      </c>
      <c r="AC58" s="2">
        <v>45967.761944444443</v>
      </c>
      <c r="AD58" s="2">
        <v>45967.769548611112</v>
      </c>
      <c r="AE58">
        <v>2</v>
      </c>
      <c r="AF58" t="s">
        <v>21</v>
      </c>
      <c r="AG58">
        <v>0</v>
      </c>
      <c r="AK58">
        <v>0</v>
      </c>
      <c r="AN58" t="s">
        <v>222</v>
      </c>
    </row>
    <row r="59" spans="1:40" x14ac:dyDescent="0.35">
      <c r="A59">
        <v>458</v>
      </c>
      <c r="B59">
        <v>409</v>
      </c>
      <c r="C59" t="s">
        <v>187</v>
      </c>
      <c r="E59">
        <v>2</v>
      </c>
      <c r="F59">
        <v>2</v>
      </c>
      <c r="G59" t="s">
        <v>188</v>
      </c>
      <c r="I59" t="s">
        <v>32</v>
      </c>
      <c r="J59">
        <v>1</v>
      </c>
      <c r="K59" t="s">
        <v>21</v>
      </c>
      <c r="L59" t="s">
        <v>21</v>
      </c>
      <c r="M59" t="s">
        <v>32</v>
      </c>
      <c r="N59">
        <v>1</v>
      </c>
      <c r="O59">
        <v>-1</v>
      </c>
      <c r="P59" t="s">
        <v>21</v>
      </c>
      <c r="Q59" t="s">
        <v>21</v>
      </c>
      <c r="R59">
        <v>2</v>
      </c>
      <c r="S59">
        <v>883</v>
      </c>
      <c r="T59">
        <v>2</v>
      </c>
      <c r="W59" t="s">
        <v>189</v>
      </c>
      <c r="Y59" t="s">
        <v>32</v>
      </c>
      <c r="Z59">
        <v>457</v>
      </c>
      <c r="AA59">
        <v>633</v>
      </c>
      <c r="AB59" s="2">
        <v>45967.769548611112</v>
      </c>
      <c r="AC59" s="2">
        <v>45967.761944444443</v>
      </c>
      <c r="AD59" s="2">
        <v>45967.769548611112</v>
      </c>
      <c r="AE59">
        <v>2</v>
      </c>
      <c r="AF59" t="s">
        <v>21</v>
      </c>
      <c r="AG59">
        <v>0</v>
      </c>
      <c r="AK59">
        <v>0</v>
      </c>
      <c r="AN59" t="s">
        <v>223</v>
      </c>
    </row>
    <row r="60" spans="1:40" x14ac:dyDescent="0.35">
      <c r="A60">
        <v>459</v>
      </c>
      <c r="B60">
        <v>409</v>
      </c>
      <c r="C60" t="s">
        <v>191</v>
      </c>
      <c r="E60">
        <v>6</v>
      </c>
      <c r="F60">
        <v>6</v>
      </c>
      <c r="G60" t="s">
        <v>192</v>
      </c>
      <c r="I60" t="s">
        <v>32</v>
      </c>
      <c r="J60">
        <v>1</v>
      </c>
      <c r="K60" t="s">
        <v>21</v>
      </c>
      <c r="L60" t="s">
        <v>21</v>
      </c>
      <c r="M60" t="s">
        <v>32</v>
      </c>
      <c r="N60">
        <v>1</v>
      </c>
      <c r="O60">
        <v>-1</v>
      </c>
      <c r="P60" t="s">
        <v>21</v>
      </c>
      <c r="Q60" t="s">
        <v>21</v>
      </c>
      <c r="R60">
        <v>2</v>
      </c>
      <c r="S60">
        <v>887</v>
      </c>
      <c r="T60">
        <v>2</v>
      </c>
      <c r="W60" t="s">
        <v>193</v>
      </c>
      <c r="X60">
        <v>0</v>
      </c>
      <c r="Y60" t="s">
        <v>32</v>
      </c>
      <c r="AA60">
        <v>634</v>
      </c>
      <c r="AB60" s="2">
        <v>45967.769548611112</v>
      </c>
      <c r="AC60" s="2">
        <v>45967.761944444443</v>
      </c>
      <c r="AD60" s="2">
        <v>45967.769548611112</v>
      </c>
      <c r="AE60">
        <v>2</v>
      </c>
      <c r="AF60" t="s">
        <v>21</v>
      </c>
      <c r="AG60">
        <v>0</v>
      </c>
      <c r="AK60">
        <v>0</v>
      </c>
      <c r="AN60" t="s">
        <v>224</v>
      </c>
    </row>
    <row r="61" spans="1:40" x14ac:dyDescent="0.35">
      <c r="A61">
        <v>413</v>
      </c>
      <c r="B61">
        <v>412</v>
      </c>
      <c r="C61" t="s">
        <v>134</v>
      </c>
      <c r="E61">
        <v>6</v>
      </c>
      <c r="F61">
        <v>19</v>
      </c>
      <c r="I61" t="s">
        <v>32</v>
      </c>
      <c r="J61">
        <v>1</v>
      </c>
      <c r="K61" t="s">
        <v>32</v>
      </c>
      <c r="L61" t="s">
        <v>32</v>
      </c>
      <c r="M61" t="s">
        <v>21</v>
      </c>
      <c r="N61">
        <v>1</v>
      </c>
      <c r="O61">
        <v>-1</v>
      </c>
      <c r="P61" t="s">
        <v>21</v>
      </c>
      <c r="Q61" t="s">
        <v>21</v>
      </c>
      <c r="R61">
        <v>1</v>
      </c>
      <c r="S61">
        <v>735</v>
      </c>
      <c r="T61">
        <v>3</v>
      </c>
      <c r="Y61" t="s">
        <v>32</v>
      </c>
      <c r="AA61">
        <v>414</v>
      </c>
      <c r="AB61" s="2">
        <v>45967.769560185188</v>
      </c>
      <c r="AC61" s="2">
        <v>45967.761944444443</v>
      </c>
      <c r="AD61" t="s">
        <v>135</v>
      </c>
      <c r="AE61">
        <v>2</v>
      </c>
      <c r="AF61" t="s">
        <v>21</v>
      </c>
      <c r="AG61">
        <v>0</v>
      </c>
      <c r="AK61">
        <v>0</v>
      </c>
    </row>
    <row r="62" spans="1:40" x14ac:dyDescent="0.35">
      <c r="A62">
        <v>461</v>
      </c>
      <c r="B62">
        <v>412</v>
      </c>
      <c r="D62" t="s">
        <v>166</v>
      </c>
      <c r="E62">
        <v>9</v>
      </c>
      <c r="F62">
        <v>9</v>
      </c>
      <c r="G62" t="s">
        <v>167</v>
      </c>
      <c r="I62" t="s">
        <v>32</v>
      </c>
      <c r="J62">
        <v>1</v>
      </c>
      <c r="K62" t="s">
        <v>21</v>
      </c>
      <c r="L62" t="s">
        <v>21</v>
      </c>
      <c r="M62" t="s">
        <v>32</v>
      </c>
      <c r="N62">
        <v>1</v>
      </c>
      <c r="O62">
        <v>-1</v>
      </c>
      <c r="P62" t="s">
        <v>21</v>
      </c>
      <c r="Q62" t="s">
        <v>21</v>
      </c>
      <c r="R62">
        <v>2</v>
      </c>
      <c r="S62">
        <v>895</v>
      </c>
      <c r="T62">
        <v>4</v>
      </c>
      <c r="U62" t="s">
        <v>168</v>
      </c>
      <c r="X62" t="s">
        <v>169</v>
      </c>
      <c r="Y62" t="s">
        <v>32</v>
      </c>
      <c r="AA62">
        <v>636</v>
      </c>
      <c r="AB62" s="2">
        <v>45967.769560185188</v>
      </c>
      <c r="AC62" s="2">
        <v>45967.761944444443</v>
      </c>
      <c r="AD62" t="s">
        <v>135</v>
      </c>
      <c r="AE62">
        <v>2</v>
      </c>
      <c r="AF62" t="s">
        <v>21</v>
      </c>
      <c r="AG62">
        <v>0</v>
      </c>
      <c r="AK62">
        <v>0</v>
      </c>
      <c r="AN62" t="s">
        <v>225</v>
      </c>
    </row>
    <row r="63" spans="1:40" x14ac:dyDescent="0.35">
      <c r="A63">
        <v>462</v>
      </c>
      <c r="B63">
        <v>412</v>
      </c>
      <c r="C63" t="s">
        <v>171</v>
      </c>
      <c r="E63">
        <v>6</v>
      </c>
      <c r="F63">
        <v>6</v>
      </c>
      <c r="G63" t="s">
        <v>172</v>
      </c>
      <c r="I63" t="s">
        <v>32</v>
      </c>
      <c r="J63">
        <v>1</v>
      </c>
      <c r="K63" t="s">
        <v>21</v>
      </c>
      <c r="L63" t="s">
        <v>21</v>
      </c>
      <c r="M63" t="s">
        <v>32</v>
      </c>
      <c r="N63">
        <v>1</v>
      </c>
      <c r="O63">
        <v>-1</v>
      </c>
      <c r="P63" t="s">
        <v>21</v>
      </c>
      <c r="Q63" t="s">
        <v>21</v>
      </c>
      <c r="R63">
        <v>2</v>
      </c>
      <c r="S63">
        <v>899</v>
      </c>
      <c r="T63">
        <v>2</v>
      </c>
      <c r="W63" t="s">
        <v>173</v>
      </c>
      <c r="X63">
        <v>0</v>
      </c>
      <c r="Y63" t="s">
        <v>32</v>
      </c>
      <c r="AA63">
        <v>637</v>
      </c>
      <c r="AB63" s="2">
        <v>45967.769560185188</v>
      </c>
      <c r="AC63" s="2">
        <v>45967.761944444443</v>
      </c>
      <c r="AD63" s="2">
        <v>45967.769560185188</v>
      </c>
      <c r="AE63">
        <v>2</v>
      </c>
      <c r="AF63" t="s">
        <v>21</v>
      </c>
      <c r="AG63">
        <v>0</v>
      </c>
      <c r="AK63">
        <v>0</v>
      </c>
      <c r="AN63" t="s">
        <v>226</v>
      </c>
    </row>
    <row r="64" spans="1:40" x14ac:dyDescent="0.35">
      <c r="A64">
        <v>463</v>
      </c>
      <c r="B64">
        <v>412</v>
      </c>
      <c r="C64" t="s">
        <v>175</v>
      </c>
      <c r="E64">
        <v>6</v>
      </c>
      <c r="F64">
        <v>6</v>
      </c>
      <c r="G64" t="s">
        <v>176</v>
      </c>
      <c r="I64" t="s">
        <v>32</v>
      </c>
      <c r="J64">
        <v>1</v>
      </c>
      <c r="K64" t="s">
        <v>21</v>
      </c>
      <c r="L64" t="s">
        <v>21</v>
      </c>
      <c r="M64" t="s">
        <v>32</v>
      </c>
      <c r="N64">
        <v>1</v>
      </c>
      <c r="O64">
        <v>-1</v>
      </c>
      <c r="P64" t="s">
        <v>21</v>
      </c>
      <c r="Q64" t="s">
        <v>21</v>
      </c>
      <c r="R64">
        <v>2</v>
      </c>
      <c r="S64">
        <v>903</v>
      </c>
      <c r="T64">
        <v>2</v>
      </c>
      <c r="W64" t="s">
        <v>177</v>
      </c>
      <c r="X64">
        <v>0</v>
      </c>
      <c r="Y64" t="s">
        <v>32</v>
      </c>
      <c r="AA64">
        <v>638</v>
      </c>
      <c r="AB64" s="2">
        <v>45967.769560185188</v>
      </c>
      <c r="AC64" s="2">
        <v>45967.761944444443</v>
      </c>
      <c r="AD64" s="2">
        <v>45967.769560185188</v>
      </c>
      <c r="AE64">
        <v>2</v>
      </c>
      <c r="AF64" t="s">
        <v>21</v>
      </c>
      <c r="AG64">
        <v>0</v>
      </c>
      <c r="AK64">
        <v>0</v>
      </c>
      <c r="AN64" t="s">
        <v>227</v>
      </c>
    </row>
    <row r="65" spans="1:40" x14ac:dyDescent="0.35">
      <c r="A65">
        <v>464</v>
      </c>
      <c r="B65">
        <v>412</v>
      </c>
      <c r="C65" t="s">
        <v>179</v>
      </c>
      <c r="E65">
        <v>2</v>
      </c>
      <c r="F65">
        <v>2</v>
      </c>
      <c r="G65" t="s">
        <v>180</v>
      </c>
      <c r="I65" t="s">
        <v>32</v>
      </c>
      <c r="J65">
        <v>1</v>
      </c>
      <c r="K65" t="s">
        <v>21</v>
      </c>
      <c r="L65" t="s">
        <v>21</v>
      </c>
      <c r="M65" t="s">
        <v>32</v>
      </c>
      <c r="N65">
        <v>1</v>
      </c>
      <c r="O65">
        <v>-1</v>
      </c>
      <c r="P65" t="s">
        <v>21</v>
      </c>
      <c r="Q65" t="s">
        <v>21</v>
      </c>
      <c r="R65">
        <v>2</v>
      </c>
      <c r="S65">
        <v>907</v>
      </c>
      <c r="T65">
        <v>2</v>
      </c>
      <c r="W65" t="s">
        <v>181</v>
      </c>
      <c r="Y65" t="s">
        <v>32</v>
      </c>
      <c r="Z65">
        <v>463</v>
      </c>
      <c r="AA65">
        <v>639</v>
      </c>
      <c r="AB65" s="2">
        <v>45967.769560185188</v>
      </c>
      <c r="AC65" s="2">
        <v>45967.761944444443</v>
      </c>
      <c r="AD65" s="2">
        <v>45967.769560185188</v>
      </c>
      <c r="AE65">
        <v>2</v>
      </c>
      <c r="AF65" t="s">
        <v>21</v>
      </c>
      <c r="AG65">
        <v>0</v>
      </c>
      <c r="AK65">
        <v>0</v>
      </c>
      <c r="AN65" t="s">
        <v>228</v>
      </c>
    </row>
    <row r="66" spans="1:40" x14ac:dyDescent="0.35">
      <c r="A66">
        <v>465</v>
      </c>
      <c r="B66">
        <v>412</v>
      </c>
      <c r="C66" t="s">
        <v>183</v>
      </c>
      <c r="E66">
        <v>6</v>
      </c>
      <c r="F66">
        <v>6</v>
      </c>
      <c r="G66" t="s">
        <v>184</v>
      </c>
      <c r="I66" t="s">
        <v>32</v>
      </c>
      <c r="J66">
        <v>1</v>
      </c>
      <c r="K66" t="s">
        <v>21</v>
      </c>
      <c r="L66" t="s">
        <v>21</v>
      </c>
      <c r="M66" t="s">
        <v>32</v>
      </c>
      <c r="N66">
        <v>1</v>
      </c>
      <c r="O66">
        <v>-1</v>
      </c>
      <c r="P66" t="s">
        <v>21</v>
      </c>
      <c r="Q66" t="s">
        <v>21</v>
      </c>
      <c r="R66">
        <v>2</v>
      </c>
      <c r="S66">
        <v>911</v>
      </c>
      <c r="T66">
        <v>2</v>
      </c>
      <c r="W66" t="s">
        <v>185</v>
      </c>
      <c r="X66">
        <v>0</v>
      </c>
      <c r="Y66" t="s">
        <v>32</v>
      </c>
      <c r="AA66">
        <v>640</v>
      </c>
      <c r="AB66" s="2">
        <v>45967.769560185188</v>
      </c>
      <c r="AC66" s="2">
        <v>45967.761944444443</v>
      </c>
      <c r="AD66" s="2">
        <v>45967.769560185188</v>
      </c>
      <c r="AE66">
        <v>2</v>
      </c>
      <c r="AF66" t="s">
        <v>21</v>
      </c>
      <c r="AG66">
        <v>0</v>
      </c>
      <c r="AK66">
        <v>0</v>
      </c>
      <c r="AN66" t="s">
        <v>229</v>
      </c>
    </row>
    <row r="67" spans="1:40" x14ac:dyDescent="0.35">
      <c r="A67">
        <v>466</v>
      </c>
      <c r="B67">
        <v>412</v>
      </c>
      <c r="C67" t="s">
        <v>187</v>
      </c>
      <c r="E67">
        <v>2</v>
      </c>
      <c r="F67">
        <v>2</v>
      </c>
      <c r="G67" t="s">
        <v>188</v>
      </c>
      <c r="I67" t="s">
        <v>32</v>
      </c>
      <c r="J67">
        <v>1</v>
      </c>
      <c r="K67" t="s">
        <v>21</v>
      </c>
      <c r="L67" t="s">
        <v>21</v>
      </c>
      <c r="M67" t="s">
        <v>32</v>
      </c>
      <c r="N67">
        <v>1</v>
      </c>
      <c r="O67">
        <v>-1</v>
      </c>
      <c r="P67" t="s">
        <v>21</v>
      </c>
      <c r="Q67" t="s">
        <v>21</v>
      </c>
      <c r="R67">
        <v>2</v>
      </c>
      <c r="S67">
        <v>915</v>
      </c>
      <c r="T67">
        <v>2</v>
      </c>
      <c r="W67" t="s">
        <v>189</v>
      </c>
      <c r="Y67" t="s">
        <v>32</v>
      </c>
      <c r="Z67">
        <v>465</v>
      </c>
      <c r="AA67">
        <v>641</v>
      </c>
      <c r="AB67" s="2">
        <v>45967.769560185188</v>
      </c>
      <c r="AC67" s="2">
        <v>45967.761944444443</v>
      </c>
      <c r="AD67" s="2">
        <v>45967.769560185188</v>
      </c>
      <c r="AE67">
        <v>2</v>
      </c>
      <c r="AF67" t="s">
        <v>21</v>
      </c>
      <c r="AG67">
        <v>0</v>
      </c>
      <c r="AK67">
        <v>0</v>
      </c>
      <c r="AN67" t="s">
        <v>230</v>
      </c>
    </row>
    <row r="68" spans="1:40" x14ac:dyDescent="0.35">
      <c r="A68">
        <v>467</v>
      </c>
      <c r="B68">
        <v>412</v>
      </c>
      <c r="C68" t="s">
        <v>191</v>
      </c>
      <c r="E68">
        <v>6</v>
      </c>
      <c r="F68">
        <v>6</v>
      </c>
      <c r="G68" t="s">
        <v>192</v>
      </c>
      <c r="I68" t="s">
        <v>32</v>
      </c>
      <c r="J68">
        <v>1</v>
      </c>
      <c r="K68" t="s">
        <v>21</v>
      </c>
      <c r="L68" t="s">
        <v>21</v>
      </c>
      <c r="M68" t="s">
        <v>32</v>
      </c>
      <c r="N68">
        <v>1</v>
      </c>
      <c r="O68">
        <v>-1</v>
      </c>
      <c r="P68" t="s">
        <v>21</v>
      </c>
      <c r="Q68" t="s">
        <v>21</v>
      </c>
      <c r="R68">
        <v>2</v>
      </c>
      <c r="S68">
        <v>919</v>
      </c>
      <c r="T68">
        <v>2</v>
      </c>
      <c r="W68" t="s">
        <v>193</v>
      </c>
      <c r="X68">
        <v>0</v>
      </c>
      <c r="Y68" t="s">
        <v>32</v>
      </c>
      <c r="AA68">
        <v>642</v>
      </c>
      <c r="AB68" s="2">
        <v>45967.769560185188</v>
      </c>
      <c r="AC68" s="2">
        <v>45967.761944444443</v>
      </c>
      <c r="AD68" s="2">
        <v>45967.769560185188</v>
      </c>
      <c r="AE68">
        <v>2</v>
      </c>
      <c r="AF68" t="s">
        <v>21</v>
      </c>
      <c r="AG68">
        <v>0</v>
      </c>
      <c r="AK68">
        <v>0</v>
      </c>
      <c r="AN68" t="s">
        <v>231</v>
      </c>
    </row>
    <row r="69" spans="1:40" x14ac:dyDescent="0.35">
      <c r="A69">
        <v>416</v>
      </c>
      <c r="B69">
        <v>415</v>
      </c>
      <c r="C69" t="s">
        <v>134</v>
      </c>
      <c r="E69">
        <v>6</v>
      </c>
      <c r="F69">
        <v>19</v>
      </c>
      <c r="I69" t="s">
        <v>32</v>
      </c>
      <c r="J69">
        <v>1</v>
      </c>
      <c r="K69" t="s">
        <v>32</v>
      </c>
      <c r="L69" t="s">
        <v>32</v>
      </c>
      <c r="M69" t="s">
        <v>21</v>
      </c>
      <c r="N69">
        <v>1</v>
      </c>
      <c r="O69">
        <v>-1</v>
      </c>
      <c r="P69" t="s">
        <v>21</v>
      </c>
      <c r="Q69" t="s">
        <v>21</v>
      </c>
      <c r="R69">
        <v>1</v>
      </c>
      <c r="S69">
        <v>739</v>
      </c>
      <c r="T69">
        <v>3</v>
      </c>
      <c r="Y69" t="s">
        <v>32</v>
      </c>
      <c r="AA69">
        <v>417</v>
      </c>
      <c r="AB69" s="2">
        <v>45967.761944444443</v>
      </c>
      <c r="AC69" s="2">
        <v>45967.761944444443</v>
      </c>
      <c r="AD69" t="s">
        <v>135</v>
      </c>
      <c r="AE69">
        <v>0</v>
      </c>
      <c r="AF69" t="s">
        <v>21</v>
      </c>
      <c r="AG69">
        <v>0</v>
      </c>
      <c r="AK69">
        <v>0</v>
      </c>
    </row>
    <row r="70" spans="1:40" x14ac:dyDescent="0.35">
      <c r="A70">
        <v>469</v>
      </c>
      <c r="B70">
        <v>415</v>
      </c>
      <c r="C70" t="s">
        <v>136</v>
      </c>
      <c r="E70">
        <v>2</v>
      </c>
      <c r="F70">
        <v>19</v>
      </c>
      <c r="I70" t="s">
        <v>21</v>
      </c>
      <c r="J70">
        <v>1</v>
      </c>
      <c r="K70" t="s">
        <v>21</v>
      </c>
      <c r="L70" t="s">
        <v>21</v>
      </c>
      <c r="M70" t="s">
        <v>32</v>
      </c>
      <c r="N70">
        <v>1</v>
      </c>
      <c r="O70">
        <v>-1</v>
      </c>
      <c r="P70" t="s">
        <v>21</v>
      </c>
      <c r="Q70" t="s">
        <v>21</v>
      </c>
      <c r="R70">
        <v>2</v>
      </c>
      <c r="S70">
        <v>927</v>
      </c>
      <c r="T70">
        <v>1</v>
      </c>
      <c r="U70" t="s">
        <v>136</v>
      </c>
      <c r="Y70" t="s">
        <v>32</v>
      </c>
      <c r="AA70">
        <v>644</v>
      </c>
      <c r="AB70" s="2">
        <v>45967.761944444443</v>
      </c>
      <c r="AC70" s="2">
        <v>45967.761944444443</v>
      </c>
      <c r="AD70" t="s">
        <v>135</v>
      </c>
      <c r="AE70">
        <v>0</v>
      </c>
      <c r="AF70" t="s">
        <v>21</v>
      </c>
      <c r="AG70">
        <v>0</v>
      </c>
      <c r="AK70">
        <v>0</v>
      </c>
      <c r="AN70" t="s">
        <v>232</v>
      </c>
    </row>
    <row r="71" spans="1:40" x14ac:dyDescent="0.35">
      <c r="A71">
        <v>470</v>
      </c>
      <c r="B71">
        <v>415</v>
      </c>
      <c r="C71" t="s">
        <v>233</v>
      </c>
      <c r="E71">
        <v>2</v>
      </c>
      <c r="F71">
        <v>19</v>
      </c>
      <c r="I71" t="s">
        <v>21</v>
      </c>
      <c r="J71">
        <v>1</v>
      </c>
      <c r="K71" t="s">
        <v>21</v>
      </c>
      <c r="L71" t="s">
        <v>21</v>
      </c>
      <c r="M71" t="s">
        <v>32</v>
      </c>
      <c r="N71">
        <v>1</v>
      </c>
      <c r="O71">
        <v>-1</v>
      </c>
      <c r="P71" t="s">
        <v>21</v>
      </c>
      <c r="Q71" t="s">
        <v>21</v>
      </c>
      <c r="R71">
        <v>2</v>
      </c>
      <c r="S71">
        <v>931</v>
      </c>
      <c r="T71">
        <v>1</v>
      </c>
      <c r="U71" t="s">
        <v>233</v>
      </c>
      <c r="Y71" t="s">
        <v>32</v>
      </c>
      <c r="AA71">
        <v>645</v>
      </c>
      <c r="AB71" s="2">
        <v>45967.761944444443</v>
      </c>
      <c r="AC71" s="2">
        <v>45967.761944444443</v>
      </c>
      <c r="AD71" t="s">
        <v>135</v>
      </c>
      <c r="AE71">
        <v>0</v>
      </c>
      <c r="AF71" t="s">
        <v>21</v>
      </c>
      <c r="AG71">
        <v>0</v>
      </c>
      <c r="AK71">
        <v>0</v>
      </c>
      <c r="AN71" t="s">
        <v>234</v>
      </c>
    </row>
    <row r="72" spans="1:40" x14ac:dyDescent="0.35">
      <c r="A72">
        <v>471</v>
      </c>
      <c r="B72">
        <v>415</v>
      </c>
      <c r="C72" t="s">
        <v>235</v>
      </c>
      <c r="E72">
        <v>2</v>
      </c>
      <c r="F72">
        <v>19</v>
      </c>
      <c r="I72" t="s">
        <v>21</v>
      </c>
      <c r="J72">
        <v>1</v>
      </c>
      <c r="K72" t="s">
        <v>21</v>
      </c>
      <c r="L72" t="s">
        <v>21</v>
      </c>
      <c r="M72" t="s">
        <v>32</v>
      </c>
      <c r="N72">
        <v>1</v>
      </c>
      <c r="O72">
        <v>-1</v>
      </c>
      <c r="P72" t="s">
        <v>21</v>
      </c>
      <c r="Q72" t="s">
        <v>21</v>
      </c>
      <c r="R72">
        <v>2</v>
      </c>
      <c r="S72">
        <v>935</v>
      </c>
      <c r="T72">
        <v>1</v>
      </c>
      <c r="U72" t="s">
        <v>235</v>
      </c>
      <c r="Y72" t="s">
        <v>32</v>
      </c>
      <c r="AA72">
        <v>646</v>
      </c>
      <c r="AB72" s="2">
        <v>45967.761944444443</v>
      </c>
      <c r="AC72" s="2">
        <v>45967.761944444443</v>
      </c>
      <c r="AD72" t="s">
        <v>135</v>
      </c>
      <c r="AE72">
        <v>0</v>
      </c>
      <c r="AF72" t="s">
        <v>21</v>
      </c>
      <c r="AG72">
        <v>0</v>
      </c>
      <c r="AK72">
        <v>0</v>
      </c>
      <c r="AN72" t="s">
        <v>236</v>
      </c>
    </row>
    <row r="73" spans="1:40" x14ac:dyDescent="0.35">
      <c r="A73">
        <v>419</v>
      </c>
      <c r="B73">
        <v>418</v>
      </c>
      <c r="C73" t="s">
        <v>134</v>
      </c>
      <c r="E73">
        <v>6</v>
      </c>
      <c r="F73">
        <v>19</v>
      </c>
      <c r="I73" t="s">
        <v>32</v>
      </c>
      <c r="J73">
        <v>1</v>
      </c>
      <c r="K73" t="s">
        <v>32</v>
      </c>
      <c r="L73" t="s">
        <v>32</v>
      </c>
      <c r="M73" t="s">
        <v>21</v>
      </c>
      <c r="N73">
        <v>1</v>
      </c>
      <c r="O73">
        <v>-1</v>
      </c>
      <c r="P73" t="s">
        <v>21</v>
      </c>
      <c r="Q73" t="s">
        <v>21</v>
      </c>
      <c r="R73">
        <v>1</v>
      </c>
      <c r="S73">
        <v>743</v>
      </c>
      <c r="T73">
        <v>3</v>
      </c>
      <c r="Y73" t="s">
        <v>32</v>
      </c>
      <c r="AA73">
        <v>420</v>
      </c>
      <c r="AB73" s="2">
        <v>45967.761944444443</v>
      </c>
      <c r="AC73" s="2">
        <v>45967.761944444443</v>
      </c>
      <c r="AD73" t="s">
        <v>135</v>
      </c>
      <c r="AE73">
        <v>0</v>
      </c>
      <c r="AF73" t="s">
        <v>21</v>
      </c>
      <c r="AG73">
        <v>0</v>
      </c>
      <c r="AK73">
        <v>0</v>
      </c>
    </row>
    <row r="74" spans="1:40" x14ac:dyDescent="0.35">
      <c r="A74">
        <v>472</v>
      </c>
      <c r="B74">
        <v>418</v>
      </c>
      <c r="C74" t="s">
        <v>235</v>
      </c>
      <c r="E74">
        <v>2</v>
      </c>
      <c r="F74">
        <v>19</v>
      </c>
      <c r="I74" t="s">
        <v>21</v>
      </c>
      <c r="J74">
        <v>1</v>
      </c>
      <c r="K74" t="s">
        <v>21</v>
      </c>
      <c r="L74" t="s">
        <v>21</v>
      </c>
      <c r="M74" t="s">
        <v>32</v>
      </c>
      <c r="N74">
        <v>1</v>
      </c>
      <c r="O74">
        <v>-1</v>
      </c>
      <c r="P74" t="s">
        <v>21</v>
      </c>
      <c r="Q74" t="s">
        <v>21</v>
      </c>
      <c r="R74">
        <v>2</v>
      </c>
      <c r="S74">
        <v>939</v>
      </c>
      <c r="T74">
        <v>1</v>
      </c>
      <c r="U74" t="s">
        <v>235</v>
      </c>
      <c r="Y74" t="s">
        <v>32</v>
      </c>
      <c r="AA74">
        <v>647</v>
      </c>
      <c r="AB74" s="2">
        <v>45967.761944444443</v>
      </c>
      <c r="AC74" s="2">
        <v>45967.761944444443</v>
      </c>
      <c r="AD74" t="s">
        <v>135</v>
      </c>
      <c r="AE74">
        <v>0</v>
      </c>
      <c r="AF74" t="s">
        <v>21</v>
      </c>
      <c r="AG74">
        <v>0</v>
      </c>
      <c r="AK74">
        <v>0</v>
      </c>
      <c r="AN74" t="s">
        <v>237</v>
      </c>
    </row>
    <row r="75" spans="1:40" x14ac:dyDescent="0.35">
      <c r="A75">
        <v>3735</v>
      </c>
      <c r="B75">
        <v>3734</v>
      </c>
      <c r="C75" t="s">
        <v>134</v>
      </c>
      <c r="E75">
        <v>6</v>
      </c>
      <c r="F75">
        <v>19</v>
      </c>
      <c r="I75" t="s">
        <v>32</v>
      </c>
      <c r="J75">
        <v>1</v>
      </c>
      <c r="K75" t="s">
        <v>32</v>
      </c>
      <c r="L75" t="s">
        <v>32</v>
      </c>
      <c r="M75" t="s">
        <v>21</v>
      </c>
      <c r="N75">
        <v>1</v>
      </c>
      <c r="O75">
        <v>-1</v>
      </c>
      <c r="P75" t="s">
        <v>21</v>
      </c>
      <c r="Q75" t="s">
        <v>21</v>
      </c>
      <c r="R75">
        <v>1</v>
      </c>
      <c r="S75">
        <v>4688</v>
      </c>
      <c r="T75">
        <v>3</v>
      </c>
      <c r="Y75" t="s">
        <v>32</v>
      </c>
      <c r="AA75">
        <v>3736</v>
      </c>
      <c r="AB75" s="2">
        <v>45967.778090277781</v>
      </c>
      <c r="AC75" s="2">
        <v>45967.778090277781</v>
      </c>
      <c r="AD75" t="s">
        <v>135</v>
      </c>
      <c r="AE75">
        <v>0</v>
      </c>
      <c r="AF75" t="s">
        <v>21</v>
      </c>
      <c r="AG75">
        <v>0</v>
      </c>
      <c r="AK75">
        <v>0</v>
      </c>
    </row>
    <row r="76" spans="1:40" x14ac:dyDescent="0.35">
      <c r="A76">
        <v>3829</v>
      </c>
      <c r="B76">
        <v>3734</v>
      </c>
      <c r="C76" t="s">
        <v>136</v>
      </c>
      <c r="E76">
        <v>2</v>
      </c>
      <c r="F76">
        <v>19</v>
      </c>
      <c r="I76" t="s">
        <v>21</v>
      </c>
      <c r="J76">
        <v>1</v>
      </c>
      <c r="K76" t="s">
        <v>21</v>
      </c>
      <c r="L76" t="s">
        <v>21</v>
      </c>
      <c r="M76" t="s">
        <v>32</v>
      </c>
      <c r="N76">
        <v>1</v>
      </c>
      <c r="O76">
        <v>-1</v>
      </c>
      <c r="P76" t="s">
        <v>21</v>
      </c>
      <c r="Q76" t="s">
        <v>21</v>
      </c>
      <c r="R76">
        <v>2</v>
      </c>
      <c r="S76">
        <v>4800</v>
      </c>
      <c r="T76">
        <v>1</v>
      </c>
      <c r="U76" t="s">
        <v>136</v>
      </c>
      <c r="Y76" t="s">
        <v>32</v>
      </c>
      <c r="AA76">
        <v>4382</v>
      </c>
      <c r="AB76" s="2">
        <v>45967.778090277781</v>
      </c>
      <c r="AC76" s="2">
        <v>45967.778090277781</v>
      </c>
      <c r="AD76" t="s">
        <v>135</v>
      </c>
      <c r="AE76">
        <v>0</v>
      </c>
      <c r="AF76" t="s">
        <v>21</v>
      </c>
      <c r="AG76">
        <v>0</v>
      </c>
      <c r="AK76">
        <v>0</v>
      </c>
      <c r="AN76" t="s">
        <v>238</v>
      </c>
    </row>
    <row r="77" spans="1:40" x14ac:dyDescent="0.35">
      <c r="A77">
        <v>3830</v>
      </c>
      <c r="B77">
        <v>3734</v>
      </c>
      <c r="C77" t="s">
        <v>239</v>
      </c>
      <c r="E77">
        <v>9</v>
      </c>
      <c r="F77">
        <v>19</v>
      </c>
      <c r="I77" t="s">
        <v>21</v>
      </c>
      <c r="J77">
        <v>1</v>
      </c>
      <c r="K77" t="s">
        <v>21</v>
      </c>
      <c r="L77" t="s">
        <v>21</v>
      </c>
      <c r="M77" t="s">
        <v>32</v>
      </c>
      <c r="N77">
        <v>1</v>
      </c>
      <c r="O77">
        <v>-1</v>
      </c>
      <c r="P77" t="s">
        <v>21</v>
      </c>
      <c r="Q77" t="s">
        <v>21</v>
      </c>
      <c r="R77">
        <v>2</v>
      </c>
      <c r="S77">
        <v>4804</v>
      </c>
      <c r="T77">
        <v>1</v>
      </c>
      <c r="U77" t="s">
        <v>239</v>
      </c>
      <c r="X77" t="s">
        <v>160</v>
      </c>
      <c r="Y77" t="s">
        <v>32</v>
      </c>
      <c r="AA77">
        <v>4383</v>
      </c>
      <c r="AB77" s="2">
        <v>45967.778090277781</v>
      </c>
      <c r="AC77" s="2">
        <v>45967.798576388886</v>
      </c>
      <c r="AD77" t="s">
        <v>135</v>
      </c>
      <c r="AE77">
        <v>0</v>
      </c>
      <c r="AF77" t="s">
        <v>21</v>
      </c>
      <c r="AG77">
        <v>0</v>
      </c>
      <c r="AK77">
        <v>0</v>
      </c>
      <c r="AN77" t="s">
        <v>240</v>
      </c>
    </row>
    <row r="78" spans="1:40" x14ac:dyDescent="0.35">
      <c r="A78">
        <v>3838</v>
      </c>
      <c r="B78">
        <v>3734</v>
      </c>
      <c r="C78" t="s">
        <v>241</v>
      </c>
      <c r="E78">
        <v>2</v>
      </c>
      <c r="F78">
        <v>19</v>
      </c>
      <c r="I78" t="s">
        <v>21</v>
      </c>
      <c r="J78">
        <v>1</v>
      </c>
      <c r="K78" t="s">
        <v>21</v>
      </c>
      <c r="L78" t="s">
        <v>21</v>
      </c>
      <c r="M78" t="s">
        <v>32</v>
      </c>
      <c r="N78">
        <v>1</v>
      </c>
      <c r="O78">
        <v>-1</v>
      </c>
      <c r="P78" t="s">
        <v>21</v>
      </c>
      <c r="Q78" t="s">
        <v>21</v>
      </c>
      <c r="R78">
        <v>2</v>
      </c>
      <c r="S78">
        <v>4836</v>
      </c>
      <c r="T78">
        <v>1</v>
      </c>
      <c r="U78" t="s">
        <v>241</v>
      </c>
      <c r="Y78" t="s">
        <v>32</v>
      </c>
      <c r="AA78">
        <v>4391</v>
      </c>
      <c r="AB78" s="2">
        <v>45967.778090277781</v>
      </c>
      <c r="AC78" s="2">
        <v>45967.778090277781</v>
      </c>
      <c r="AD78" t="s">
        <v>135</v>
      </c>
      <c r="AE78">
        <v>0</v>
      </c>
      <c r="AF78" t="s">
        <v>21</v>
      </c>
      <c r="AG78">
        <v>0</v>
      </c>
      <c r="AK78">
        <v>0</v>
      </c>
      <c r="AN78" t="s">
        <v>242</v>
      </c>
    </row>
    <row r="79" spans="1:40" x14ac:dyDescent="0.35">
      <c r="A79">
        <v>3839</v>
      </c>
      <c r="B79">
        <v>3734</v>
      </c>
      <c r="C79" t="s">
        <v>243</v>
      </c>
      <c r="E79">
        <v>2</v>
      </c>
      <c r="F79">
        <v>19</v>
      </c>
      <c r="I79" t="s">
        <v>21</v>
      </c>
      <c r="J79">
        <v>1</v>
      </c>
      <c r="K79" t="s">
        <v>21</v>
      </c>
      <c r="L79" t="s">
        <v>21</v>
      </c>
      <c r="M79" t="s">
        <v>32</v>
      </c>
      <c r="N79">
        <v>1</v>
      </c>
      <c r="O79">
        <v>-1</v>
      </c>
      <c r="P79" t="s">
        <v>21</v>
      </c>
      <c r="Q79" t="s">
        <v>21</v>
      </c>
      <c r="R79">
        <v>2</v>
      </c>
      <c r="S79">
        <v>4840</v>
      </c>
      <c r="T79">
        <v>1</v>
      </c>
      <c r="U79" t="s">
        <v>243</v>
      </c>
      <c r="Y79" t="s">
        <v>32</v>
      </c>
      <c r="AA79">
        <v>4392</v>
      </c>
      <c r="AB79" s="2">
        <v>45967.778090277781</v>
      </c>
      <c r="AC79" s="2">
        <v>45967.778090277781</v>
      </c>
      <c r="AD79" t="s">
        <v>135</v>
      </c>
      <c r="AE79">
        <v>0</v>
      </c>
      <c r="AF79" t="s">
        <v>21</v>
      </c>
      <c r="AG79">
        <v>0</v>
      </c>
      <c r="AK79">
        <v>0</v>
      </c>
      <c r="AN79" t="s">
        <v>244</v>
      </c>
    </row>
    <row r="80" spans="1:40" x14ac:dyDescent="0.35">
      <c r="A80">
        <v>3840</v>
      </c>
      <c r="B80">
        <v>3734</v>
      </c>
      <c r="C80" t="s">
        <v>157</v>
      </c>
      <c r="E80">
        <v>2</v>
      </c>
      <c r="F80">
        <v>19</v>
      </c>
      <c r="I80" t="s">
        <v>21</v>
      </c>
      <c r="J80">
        <v>1</v>
      </c>
      <c r="K80" t="s">
        <v>21</v>
      </c>
      <c r="L80" t="s">
        <v>21</v>
      </c>
      <c r="M80" t="s">
        <v>32</v>
      </c>
      <c r="N80">
        <v>1</v>
      </c>
      <c r="O80">
        <v>-1</v>
      </c>
      <c r="P80" t="s">
        <v>21</v>
      </c>
      <c r="Q80" t="s">
        <v>21</v>
      </c>
      <c r="R80">
        <v>2</v>
      </c>
      <c r="S80">
        <v>4844</v>
      </c>
      <c r="T80">
        <v>1</v>
      </c>
      <c r="U80" t="s">
        <v>157</v>
      </c>
      <c r="Y80" t="s">
        <v>32</v>
      </c>
      <c r="AA80">
        <v>4393</v>
      </c>
      <c r="AB80" s="2">
        <v>45967.778090277781</v>
      </c>
      <c r="AC80" s="2">
        <v>45967.778090277781</v>
      </c>
      <c r="AD80" t="s">
        <v>135</v>
      </c>
      <c r="AE80">
        <v>0</v>
      </c>
      <c r="AF80" t="s">
        <v>21</v>
      </c>
      <c r="AG80">
        <v>0</v>
      </c>
      <c r="AK80">
        <v>0</v>
      </c>
      <c r="AN80" t="s">
        <v>245</v>
      </c>
    </row>
    <row r="81" spans="1:40" x14ac:dyDescent="0.35">
      <c r="A81">
        <v>3841</v>
      </c>
      <c r="B81">
        <v>3734</v>
      </c>
      <c r="C81" t="s">
        <v>246</v>
      </c>
      <c r="E81">
        <v>2</v>
      </c>
      <c r="F81">
        <v>19</v>
      </c>
      <c r="I81" t="s">
        <v>21</v>
      </c>
      <c r="J81">
        <v>1</v>
      </c>
      <c r="K81" t="s">
        <v>21</v>
      </c>
      <c r="L81" t="s">
        <v>21</v>
      </c>
      <c r="M81" t="s">
        <v>32</v>
      </c>
      <c r="N81">
        <v>1</v>
      </c>
      <c r="O81">
        <v>-1</v>
      </c>
      <c r="P81" t="s">
        <v>21</v>
      </c>
      <c r="Q81" t="s">
        <v>21</v>
      </c>
      <c r="R81">
        <v>2</v>
      </c>
      <c r="S81">
        <v>4848</v>
      </c>
      <c r="T81">
        <v>1</v>
      </c>
      <c r="U81" t="s">
        <v>246</v>
      </c>
      <c r="Y81" t="s">
        <v>32</v>
      </c>
      <c r="AA81">
        <v>4394</v>
      </c>
      <c r="AB81" s="2">
        <v>45967.778090277781</v>
      </c>
      <c r="AC81" s="2">
        <v>45967.778090277781</v>
      </c>
      <c r="AD81" t="s">
        <v>135</v>
      </c>
      <c r="AE81">
        <v>0</v>
      </c>
      <c r="AF81" t="s">
        <v>21</v>
      </c>
      <c r="AG81">
        <v>0</v>
      </c>
      <c r="AK81">
        <v>0</v>
      </c>
      <c r="AN81" t="s">
        <v>247</v>
      </c>
    </row>
    <row r="82" spans="1:40" x14ac:dyDescent="0.35">
      <c r="A82">
        <v>3842</v>
      </c>
      <c r="B82">
        <v>3734</v>
      </c>
      <c r="C82" t="s">
        <v>248</v>
      </c>
      <c r="E82">
        <v>2</v>
      </c>
      <c r="F82">
        <v>19</v>
      </c>
      <c r="I82" t="s">
        <v>21</v>
      </c>
      <c r="J82">
        <v>1</v>
      </c>
      <c r="K82" t="s">
        <v>21</v>
      </c>
      <c r="L82" t="s">
        <v>21</v>
      </c>
      <c r="M82" t="s">
        <v>32</v>
      </c>
      <c r="N82">
        <v>1</v>
      </c>
      <c r="O82">
        <v>-1</v>
      </c>
      <c r="P82" t="s">
        <v>21</v>
      </c>
      <c r="Q82" t="s">
        <v>21</v>
      </c>
      <c r="R82">
        <v>2</v>
      </c>
      <c r="S82">
        <v>4852</v>
      </c>
      <c r="T82">
        <v>1</v>
      </c>
      <c r="U82" t="s">
        <v>248</v>
      </c>
      <c r="Y82" t="s">
        <v>32</v>
      </c>
      <c r="AA82">
        <v>4395</v>
      </c>
      <c r="AB82" s="2">
        <v>45967.778090277781</v>
      </c>
      <c r="AC82" s="2">
        <v>45967.778090277781</v>
      </c>
      <c r="AD82" t="s">
        <v>135</v>
      </c>
      <c r="AE82">
        <v>0</v>
      </c>
      <c r="AF82" t="s">
        <v>21</v>
      </c>
      <c r="AG82">
        <v>0</v>
      </c>
      <c r="AK82">
        <v>0</v>
      </c>
      <c r="AN82" t="s">
        <v>249</v>
      </c>
    </row>
    <row r="83" spans="1:40" x14ac:dyDescent="0.35">
      <c r="A83">
        <v>3843</v>
      </c>
      <c r="B83">
        <v>3734</v>
      </c>
      <c r="C83" t="s">
        <v>250</v>
      </c>
      <c r="E83">
        <v>8</v>
      </c>
      <c r="F83">
        <v>19</v>
      </c>
      <c r="I83" t="s">
        <v>21</v>
      </c>
      <c r="J83">
        <v>1</v>
      </c>
      <c r="K83" t="s">
        <v>21</v>
      </c>
      <c r="L83" t="s">
        <v>21</v>
      </c>
      <c r="M83" t="s">
        <v>32</v>
      </c>
      <c r="N83">
        <v>1</v>
      </c>
      <c r="O83">
        <v>-1</v>
      </c>
      <c r="P83" t="s">
        <v>21</v>
      </c>
      <c r="Q83" t="s">
        <v>21</v>
      </c>
      <c r="R83">
        <v>3</v>
      </c>
      <c r="S83">
        <v>4856</v>
      </c>
      <c r="T83">
        <v>1</v>
      </c>
      <c r="U83" t="s">
        <v>250</v>
      </c>
      <c r="Y83" t="s">
        <v>32</v>
      </c>
      <c r="AA83">
        <v>4396</v>
      </c>
      <c r="AB83" s="2">
        <v>45967.778090277781</v>
      </c>
      <c r="AC83" s="2">
        <v>45967.778090277781</v>
      </c>
      <c r="AD83" t="s">
        <v>135</v>
      </c>
      <c r="AE83">
        <v>0</v>
      </c>
      <c r="AF83" t="s">
        <v>21</v>
      </c>
      <c r="AG83">
        <v>0</v>
      </c>
      <c r="AK83">
        <v>0</v>
      </c>
      <c r="AN83" t="s">
        <v>251</v>
      </c>
    </row>
    <row r="84" spans="1:40" x14ac:dyDescent="0.35">
      <c r="A84">
        <v>3844</v>
      </c>
      <c r="B84">
        <v>3734</v>
      </c>
      <c r="C84" t="s">
        <v>252</v>
      </c>
      <c r="E84">
        <v>2</v>
      </c>
      <c r="F84">
        <v>19</v>
      </c>
      <c r="I84" t="s">
        <v>21</v>
      </c>
      <c r="J84">
        <v>1</v>
      </c>
      <c r="K84" t="s">
        <v>21</v>
      </c>
      <c r="L84" t="s">
        <v>21</v>
      </c>
      <c r="M84" t="s">
        <v>32</v>
      </c>
      <c r="N84">
        <v>1</v>
      </c>
      <c r="O84">
        <v>-1</v>
      </c>
      <c r="P84" t="s">
        <v>21</v>
      </c>
      <c r="Q84" t="s">
        <v>21</v>
      </c>
      <c r="R84">
        <v>2</v>
      </c>
      <c r="S84">
        <v>4860</v>
      </c>
      <c r="T84">
        <v>1</v>
      </c>
      <c r="U84" t="s">
        <v>252</v>
      </c>
      <c r="Y84" t="s">
        <v>32</v>
      </c>
      <c r="AA84">
        <v>4397</v>
      </c>
      <c r="AB84" s="2">
        <v>45967.778090277781</v>
      </c>
      <c r="AC84" s="2">
        <v>45967.778090277781</v>
      </c>
      <c r="AD84" t="s">
        <v>135</v>
      </c>
      <c r="AE84">
        <v>0</v>
      </c>
      <c r="AF84" t="s">
        <v>21</v>
      </c>
      <c r="AG84">
        <v>0</v>
      </c>
      <c r="AK84">
        <v>0</v>
      </c>
      <c r="AN84" t="s">
        <v>253</v>
      </c>
    </row>
    <row r="85" spans="1:40" x14ac:dyDescent="0.35">
      <c r="A85">
        <v>3845</v>
      </c>
      <c r="B85">
        <v>3734</v>
      </c>
      <c r="C85" t="s">
        <v>155</v>
      </c>
      <c r="E85">
        <v>2</v>
      </c>
      <c r="F85">
        <v>19</v>
      </c>
      <c r="I85" t="s">
        <v>21</v>
      </c>
      <c r="J85">
        <v>1</v>
      </c>
      <c r="K85" t="s">
        <v>21</v>
      </c>
      <c r="L85" t="s">
        <v>21</v>
      </c>
      <c r="M85" t="s">
        <v>32</v>
      </c>
      <c r="N85">
        <v>1</v>
      </c>
      <c r="O85">
        <v>-1</v>
      </c>
      <c r="P85" t="s">
        <v>21</v>
      </c>
      <c r="Q85" t="s">
        <v>21</v>
      </c>
      <c r="R85">
        <v>2</v>
      </c>
      <c r="S85">
        <v>4864</v>
      </c>
      <c r="T85">
        <v>1</v>
      </c>
      <c r="U85" t="s">
        <v>155</v>
      </c>
      <c r="Y85" t="s">
        <v>32</v>
      </c>
      <c r="AA85">
        <v>4398</v>
      </c>
      <c r="AB85" s="2">
        <v>45967.778090277781</v>
      </c>
      <c r="AC85" s="2">
        <v>45967.778090277781</v>
      </c>
      <c r="AD85" t="s">
        <v>135</v>
      </c>
      <c r="AE85">
        <v>0</v>
      </c>
      <c r="AF85" t="s">
        <v>21</v>
      </c>
      <c r="AG85">
        <v>0</v>
      </c>
      <c r="AK85">
        <v>0</v>
      </c>
      <c r="AN85" t="s">
        <v>254</v>
      </c>
    </row>
    <row r="86" spans="1:40" x14ac:dyDescent="0.35">
      <c r="A86">
        <v>3846</v>
      </c>
      <c r="B86">
        <v>3734</v>
      </c>
      <c r="C86" t="s">
        <v>255</v>
      </c>
      <c r="E86">
        <v>6</v>
      </c>
      <c r="F86">
        <v>19</v>
      </c>
      <c r="I86" t="s">
        <v>21</v>
      </c>
      <c r="J86">
        <v>1</v>
      </c>
      <c r="K86" t="s">
        <v>21</v>
      </c>
      <c r="L86" t="s">
        <v>21</v>
      </c>
      <c r="M86" t="s">
        <v>32</v>
      </c>
      <c r="N86">
        <v>1</v>
      </c>
      <c r="O86">
        <v>-1</v>
      </c>
      <c r="P86" t="s">
        <v>21</v>
      </c>
      <c r="Q86" t="s">
        <v>21</v>
      </c>
      <c r="R86">
        <v>3</v>
      </c>
      <c r="S86">
        <v>4868</v>
      </c>
      <c r="T86">
        <v>1</v>
      </c>
      <c r="U86" t="s">
        <v>255</v>
      </c>
      <c r="X86">
        <v>0</v>
      </c>
      <c r="Y86" t="s">
        <v>32</v>
      </c>
      <c r="AA86">
        <v>4399</v>
      </c>
      <c r="AB86" s="2">
        <v>45967.778090277781</v>
      </c>
      <c r="AC86" s="2">
        <v>45967.778090277781</v>
      </c>
      <c r="AD86" t="s">
        <v>135</v>
      </c>
      <c r="AE86">
        <v>0</v>
      </c>
      <c r="AF86" t="s">
        <v>21</v>
      </c>
      <c r="AG86">
        <v>0</v>
      </c>
      <c r="AK86">
        <v>0</v>
      </c>
      <c r="AN86" t="s">
        <v>256</v>
      </c>
    </row>
    <row r="87" spans="1:40" x14ac:dyDescent="0.35">
      <c r="A87">
        <v>3847</v>
      </c>
      <c r="B87">
        <v>3734</v>
      </c>
      <c r="C87" t="s">
        <v>257</v>
      </c>
      <c r="E87">
        <v>2</v>
      </c>
      <c r="F87">
        <v>19</v>
      </c>
      <c r="I87" t="s">
        <v>21</v>
      </c>
      <c r="J87">
        <v>1</v>
      </c>
      <c r="K87" t="s">
        <v>21</v>
      </c>
      <c r="L87" t="s">
        <v>21</v>
      </c>
      <c r="M87" t="s">
        <v>32</v>
      </c>
      <c r="N87">
        <v>1</v>
      </c>
      <c r="O87">
        <v>-1</v>
      </c>
      <c r="P87" t="s">
        <v>21</v>
      </c>
      <c r="Q87" t="s">
        <v>21</v>
      </c>
      <c r="R87">
        <v>2</v>
      </c>
      <c r="S87">
        <v>4872</v>
      </c>
      <c r="T87">
        <v>1</v>
      </c>
      <c r="U87" t="s">
        <v>257</v>
      </c>
      <c r="Y87" t="s">
        <v>32</v>
      </c>
      <c r="AA87">
        <v>4400</v>
      </c>
      <c r="AB87" s="2">
        <v>45967.778090277781</v>
      </c>
      <c r="AC87" s="2">
        <v>45967.778090277781</v>
      </c>
      <c r="AD87" t="s">
        <v>135</v>
      </c>
      <c r="AE87">
        <v>0</v>
      </c>
      <c r="AF87" t="s">
        <v>21</v>
      </c>
      <c r="AG87">
        <v>0</v>
      </c>
      <c r="AK87">
        <v>0</v>
      </c>
      <c r="AN87" t="s">
        <v>258</v>
      </c>
    </row>
    <row r="88" spans="1:40" x14ac:dyDescent="0.35">
      <c r="A88">
        <v>3741</v>
      </c>
      <c r="B88">
        <v>3740</v>
      </c>
      <c r="C88" t="s">
        <v>134</v>
      </c>
      <c r="E88">
        <v>6</v>
      </c>
      <c r="F88">
        <v>19</v>
      </c>
      <c r="I88" t="s">
        <v>32</v>
      </c>
      <c r="J88">
        <v>1</v>
      </c>
      <c r="K88" t="s">
        <v>32</v>
      </c>
      <c r="L88" t="s">
        <v>32</v>
      </c>
      <c r="M88" t="s">
        <v>21</v>
      </c>
      <c r="N88">
        <v>1</v>
      </c>
      <c r="O88">
        <v>-1</v>
      </c>
      <c r="P88" t="s">
        <v>21</v>
      </c>
      <c r="Q88" t="s">
        <v>21</v>
      </c>
      <c r="R88">
        <v>1</v>
      </c>
      <c r="S88">
        <v>4696</v>
      </c>
      <c r="T88">
        <v>3</v>
      </c>
      <c r="Y88" t="s">
        <v>32</v>
      </c>
      <c r="AA88">
        <v>3742</v>
      </c>
      <c r="AB88" s="2">
        <v>45967.778090277781</v>
      </c>
      <c r="AC88" s="2">
        <v>45967.778090277781</v>
      </c>
      <c r="AD88" t="s">
        <v>135</v>
      </c>
      <c r="AE88">
        <v>0</v>
      </c>
      <c r="AF88" t="s">
        <v>21</v>
      </c>
      <c r="AG88">
        <v>0</v>
      </c>
      <c r="AK88">
        <v>0</v>
      </c>
    </row>
    <row r="89" spans="1:40" x14ac:dyDescent="0.35">
      <c r="A89">
        <v>3848</v>
      </c>
      <c r="B89">
        <v>3740</v>
      </c>
      <c r="C89" t="s">
        <v>259</v>
      </c>
      <c r="E89">
        <v>6</v>
      </c>
      <c r="F89">
        <v>19</v>
      </c>
      <c r="I89" t="s">
        <v>21</v>
      </c>
      <c r="J89">
        <v>1</v>
      </c>
      <c r="K89" t="s">
        <v>21</v>
      </c>
      <c r="L89" t="s">
        <v>21</v>
      </c>
      <c r="M89" t="s">
        <v>32</v>
      </c>
      <c r="N89">
        <v>1</v>
      </c>
      <c r="O89">
        <v>-1</v>
      </c>
      <c r="P89" t="s">
        <v>21</v>
      </c>
      <c r="Q89" t="s">
        <v>21</v>
      </c>
      <c r="R89">
        <v>3</v>
      </c>
      <c r="S89">
        <v>4876</v>
      </c>
      <c r="T89">
        <v>1</v>
      </c>
      <c r="U89" t="s">
        <v>259</v>
      </c>
      <c r="X89">
        <v>0</v>
      </c>
      <c r="Y89" t="s">
        <v>32</v>
      </c>
      <c r="AA89">
        <v>4401</v>
      </c>
      <c r="AB89" s="2">
        <v>45967.778090277781</v>
      </c>
      <c r="AC89" s="2">
        <v>45967.778090277781</v>
      </c>
      <c r="AD89" t="s">
        <v>135</v>
      </c>
      <c r="AE89">
        <v>0</v>
      </c>
      <c r="AF89" t="s">
        <v>21</v>
      </c>
      <c r="AG89">
        <v>0</v>
      </c>
      <c r="AK89">
        <v>0</v>
      </c>
      <c r="AN89" t="s">
        <v>260</v>
      </c>
    </row>
    <row r="90" spans="1:40" x14ac:dyDescent="0.35">
      <c r="A90">
        <v>3849</v>
      </c>
      <c r="B90">
        <v>3740</v>
      </c>
      <c r="C90" t="s">
        <v>159</v>
      </c>
      <c r="E90">
        <v>9</v>
      </c>
      <c r="F90">
        <v>19</v>
      </c>
      <c r="I90" t="s">
        <v>21</v>
      </c>
      <c r="J90">
        <v>1</v>
      </c>
      <c r="K90" t="s">
        <v>21</v>
      </c>
      <c r="L90" t="s">
        <v>21</v>
      </c>
      <c r="M90" t="s">
        <v>32</v>
      </c>
      <c r="N90">
        <v>1</v>
      </c>
      <c r="O90">
        <v>-1</v>
      </c>
      <c r="P90" t="s">
        <v>21</v>
      </c>
      <c r="Q90" t="s">
        <v>21</v>
      </c>
      <c r="R90">
        <v>2</v>
      </c>
      <c r="S90">
        <v>4880</v>
      </c>
      <c r="T90">
        <v>1</v>
      </c>
      <c r="U90" t="s">
        <v>159</v>
      </c>
      <c r="X90" t="s">
        <v>160</v>
      </c>
      <c r="Y90" t="s">
        <v>32</v>
      </c>
      <c r="AA90">
        <v>4402</v>
      </c>
      <c r="AB90" s="2">
        <v>45967.778090277781</v>
      </c>
      <c r="AC90" s="2">
        <v>45967.778090277781</v>
      </c>
      <c r="AD90" t="s">
        <v>135</v>
      </c>
      <c r="AE90">
        <v>0</v>
      </c>
      <c r="AF90" t="s">
        <v>21</v>
      </c>
      <c r="AG90">
        <v>0</v>
      </c>
      <c r="AK90">
        <v>0</v>
      </c>
      <c r="AN90" t="s">
        <v>261</v>
      </c>
    </row>
    <row r="91" spans="1:40" x14ac:dyDescent="0.35">
      <c r="A91">
        <v>3857</v>
      </c>
      <c r="B91">
        <v>3740</v>
      </c>
      <c r="C91" t="s">
        <v>262</v>
      </c>
      <c r="E91">
        <v>9</v>
      </c>
      <c r="F91">
        <v>19</v>
      </c>
      <c r="I91" t="s">
        <v>21</v>
      </c>
      <c r="J91">
        <v>1</v>
      </c>
      <c r="K91" t="s">
        <v>21</v>
      </c>
      <c r="L91" t="s">
        <v>21</v>
      </c>
      <c r="M91" t="s">
        <v>32</v>
      </c>
      <c r="N91">
        <v>1</v>
      </c>
      <c r="O91">
        <v>-1</v>
      </c>
      <c r="P91" t="s">
        <v>21</v>
      </c>
      <c r="Q91" t="s">
        <v>21</v>
      </c>
      <c r="R91">
        <v>2</v>
      </c>
      <c r="S91">
        <v>4912</v>
      </c>
      <c r="T91">
        <v>1</v>
      </c>
      <c r="U91" t="s">
        <v>262</v>
      </c>
      <c r="X91" t="s">
        <v>160</v>
      </c>
      <c r="Y91" t="s">
        <v>32</v>
      </c>
      <c r="AA91">
        <v>4410</v>
      </c>
      <c r="AB91" s="2">
        <v>45967.778090277781</v>
      </c>
      <c r="AC91" s="2">
        <v>45967.79896990741</v>
      </c>
      <c r="AD91" t="s">
        <v>135</v>
      </c>
      <c r="AE91">
        <v>0</v>
      </c>
      <c r="AF91" t="s">
        <v>21</v>
      </c>
      <c r="AG91">
        <v>0</v>
      </c>
      <c r="AK91">
        <v>0</v>
      </c>
      <c r="AN91" t="s">
        <v>263</v>
      </c>
    </row>
    <row r="92" spans="1:40" x14ac:dyDescent="0.35">
      <c r="A92">
        <v>3865</v>
      </c>
      <c r="B92">
        <v>3740</v>
      </c>
      <c r="C92" t="s">
        <v>264</v>
      </c>
      <c r="E92">
        <v>9</v>
      </c>
      <c r="F92">
        <v>19</v>
      </c>
      <c r="I92" t="s">
        <v>21</v>
      </c>
      <c r="J92">
        <v>1</v>
      </c>
      <c r="K92" t="s">
        <v>21</v>
      </c>
      <c r="L92" t="s">
        <v>21</v>
      </c>
      <c r="M92" t="s">
        <v>32</v>
      </c>
      <c r="N92">
        <v>1</v>
      </c>
      <c r="O92">
        <v>-1</v>
      </c>
      <c r="P92" t="s">
        <v>21</v>
      </c>
      <c r="Q92" t="s">
        <v>21</v>
      </c>
      <c r="R92">
        <v>2</v>
      </c>
      <c r="S92">
        <v>4944</v>
      </c>
      <c r="T92">
        <v>1</v>
      </c>
      <c r="U92" t="s">
        <v>264</v>
      </c>
      <c r="X92" t="s">
        <v>160</v>
      </c>
      <c r="Y92" t="s">
        <v>32</v>
      </c>
      <c r="AA92">
        <v>4418</v>
      </c>
      <c r="AB92" s="2">
        <v>45967.778090277781</v>
      </c>
      <c r="AC92" s="2">
        <v>45967.778090277781</v>
      </c>
      <c r="AD92" t="s">
        <v>135</v>
      </c>
      <c r="AE92">
        <v>0</v>
      </c>
      <c r="AF92" t="s">
        <v>21</v>
      </c>
      <c r="AG92">
        <v>0</v>
      </c>
      <c r="AK92">
        <v>0</v>
      </c>
      <c r="AN92" t="s">
        <v>265</v>
      </c>
    </row>
    <row r="93" spans="1:40" x14ac:dyDescent="0.35">
      <c r="A93">
        <v>3873</v>
      </c>
      <c r="B93">
        <v>3740</v>
      </c>
      <c r="C93" t="s">
        <v>266</v>
      </c>
      <c r="E93">
        <v>2</v>
      </c>
      <c r="F93">
        <v>19</v>
      </c>
      <c r="I93" t="s">
        <v>21</v>
      </c>
      <c r="J93">
        <v>1</v>
      </c>
      <c r="K93" t="s">
        <v>21</v>
      </c>
      <c r="L93" t="s">
        <v>21</v>
      </c>
      <c r="M93" t="s">
        <v>32</v>
      </c>
      <c r="N93">
        <v>1</v>
      </c>
      <c r="O93">
        <v>-1</v>
      </c>
      <c r="P93" t="s">
        <v>21</v>
      </c>
      <c r="Q93" t="s">
        <v>21</v>
      </c>
      <c r="R93">
        <v>2</v>
      </c>
      <c r="S93">
        <v>4976</v>
      </c>
      <c r="T93">
        <v>1</v>
      </c>
      <c r="U93" t="s">
        <v>266</v>
      </c>
      <c r="Y93" t="s">
        <v>32</v>
      </c>
      <c r="AA93">
        <v>4426</v>
      </c>
      <c r="AB93" s="2">
        <v>45967.778090277781</v>
      </c>
      <c r="AC93" s="2">
        <v>45967.778090277781</v>
      </c>
      <c r="AD93" t="s">
        <v>135</v>
      </c>
      <c r="AE93">
        <v>0</v>
      </c>
      <c r="AF93" t="s">
        <v>21</v>
      </c>
      <c r="AG93">
        <v>0</v>
      </c>
      <c r="AK93">
        <v>0</v>
      </c>
      <c r="AN93" t="s">
        <v>267</v>
      </c>
    </row>
    <row r="94" spans="1:40" x14ac:dyDescent="0.35">
      <c r="A94">
        <v>3874</v>
      </c>
      <c r="B94">
        <v>3740</v>
      </c>
      <c r="C94" t="s">
        <v>147</v>
      </c>
      <c r="E94">
        <v>6</v>
      </c>
      <c r="F94">
        <v>19</v>
      </c>
      <c r="I94" t="s">
        <v>21</v>
      </c>
      <c r="J94">
        <v>1</v>
      </c>
      <c r="K94" t="s">
        <v>21</v>
      </c>
      <c r="L94" t="s">
        <v>21</v>
      </c>
      <c r="M94" t="s">
        <v>32</v>
      </c>
      <c r="N94">
        <v>1</v>
      </c>
      <c r="O94">
        <v>-1</v>
      </c>
      <c r="P94" t="s">
        <v>21</v>
      </c>
      <c r="Q94" t="s">
        <v>21</v>
      </c>
      <c r="R94">
        <v>3</v>
      </c>
      <c r="S94">
        <v>4980</v>
      </c>
      <c r="T94">
        <v>1</v>
      </c>
      <c r="U94" t="s">
        <v>147</v>
      </c>
      <c r="X94">
        <v>0</v>
      </c>
      <c r="Y94" t="s">
        <v>32</v>
      </c>
      <c r="AA94">
        <v>4427</v>
      </c>
      <c r="AB94" s="2">
        <v>45967.778090277781</v>
      </c>
      <c r="AC94" s="2">
        <v>45967.778090277781</v>
      </c>
      <c r="AD94" t="s">
        <v>135</v>
      </c>
      <c r="AE94">
        <v>0</v>
      </c>
      <c r="AF94" t="s">
        <v>21</v>
      </c>
      <c r="AG94">
        <v>0</v>
      </c>
      <c r="AK94">
        <v>0</v>
      </c>
      <c r="AN94" t="s">
        <v>268</v>
      </c>
    </row>
    <row r="95" spans="1:40" x14ac:dyDescent="0.35">
      <c r="A95">
        <v>3875</v>
      </c>
      <c r="B95">
        <v>3740</v>
      </c>
      <c r="C95" t="s">
        <v>149</v>
      </c>
      <c r="E95">
        <v>6</v>
      </c>
      <c r="F95">
        <v>19</v>
      </c>
      <c r="I95" t="s">
        <v>21</v>
      </c>
      <c r="J95">
        <v>1</v>
      </c>
      <c r="K95" t="s">
        <v>21</v>
      </c>
      <c r="L95" t="s">
        <v>21</v>
      </c>
      <c r="M95" t="s">
        <v>32</v>
      </c>
      <c r="N95">
        <v>1</v>
      </c>
      <c r="O95">
        <v>-1</v>
      </c>
      <c r="P95" t="s">
        <v>21</v>
      </c>
      <c r="Q95" t="s">
        <v>21</v>
      </c>
      <c r="R95">
        <v>3</v>
      </c>
      <c r="S95">
        <v>4984</v>
      </c>
      <c r="T95">
        <v>1</v>
      </c>
      <c r="U95" t="s">
        <v>149</v>
      </c>
      <c r="X95">
        <v>0</v>
      </c>
      <c r="Y95" t="s">
        <v>32</v>
      </c>
      <c r="AA95">
        <v>4428</v>
      </c>
      <c r="AB95" s="2">
        <v>45967.778090277781</v>
      </c>
      <c r="AC95" s="2">
        <v>45967.778090277781</v>
      </c>
      <c r="AD95" t="s">
        <v>135</v>
      </c>
      <c r="AE95">
        <v>0</v>
      </c>
      <c r="AF95" t="s">
        <v>21</v>
      </c>
      <c r="AG95">
        <v>0</v>
      </c>
      <c r="AK95">
        <v>0</v>
      </c>
      <c r="AN95" t="s">
        <v>269</v>
      </c>
    </row>
    <row r="96" spans="1:40" x14ac:dyDescent="0.35">
      <c r="A96">
        <v>3876</v>
      </c>
      <c r="B96">
        <v>3740</v>
      </c>
      <c r="C96" t="s">
        <v>270</v>
      </c>
      <c r="E96">
        <v>6</v>
      </c>
      <c r="F96">
        <v>19</v>
      </c>
      <c r="I96" t="s">
        <v>21</v>
      </c>
      <c r="J96">
        <v>1</v>
      </c>
      <c r="K96" t="s">
        <v>21</v>
      </c>
      <c r="L96" t="s">
        <v>21</v>
      </c>
      <c r="M96" t="s">
        <v>32</v>
      </c>
      <c r="N96">
        <v>1</v>
      </c>
      <c r="O96">
        <v>-1</v>
      </c>
      <c r="P96" t="s">
        <v>21</v>
      </c>
      <c r="Q96" t="s">
        <v>21</v>
      </c>
      <c r="R96">
        <v>3</v>
      </c>
      <c r="S96">
        <v>4988</v>
      </c>
      <c r="T96">
        <v>1</v>
      </c>
      <c r="U96" t="s">
        <v>270</v>
      </c>
      <c r="X96">
        <v>0</v>
      </c>
      <c r="Y96" t="s">
        <v>32</v>
      </c>
      <c r="AA96">
        <v>4429</v>
      </c>
      <c r="AB96" s="2">
        <v>45967.778090277781</v>
      </c>
      <c r="AC96" s="2">
        <v>45967.778090277781</v>
      </c>
      <c r="AD96" t="s">
        <v>135</v>
      </c>
      <c r="AE96">
        <v>0</v>
      </c>
      <c r="AF96" t="s">
        <v>21</v>
      </c>
      <c r="AG96">
        <v>0</v>
      </c>
      <c r="AK96">
        <v>0</v>
      </c>
      <c r="AN96" t="s">
        <v>271</v>
      </c>
    </row>
    <row r="97" spans="1:40" x14ac:dyDescent="0.35">
      <c r="A97">
        <v>3877</v>
      </c>
      <c r="B97">
        <v>3740</v>
      </c>
      <c r="C97" t="s">
        <v>257</v>
      </c>
      <c r="E97">
        <v>2</v>
      </c>
      <c r="F97">
        <v>19</v>
      </c>
      <c r="I97" t="s">
        <v>21</v>
      </c>
      <c r="J97">
        <v>1</v>
      </c>
      <c r="K97" t="s">
        <v>21</v>
      </c>
      <c r="L97" t="s">
        <v>21</v>
      </c>
      <c r="M97" t="s">
        <v>32</v>
      </c>
      <c r="N97">
        <v>1</v>
      </c>
      <c r="O97">
        <v>-1</v>
      </c>
      <c r="P97" t="s">
        <v>21</v>
      </c>
      <c r="Q97" t="s">
        <v>21</v>
      </c>
      <c r="R97">
        <v>2</v>
      </c>
      <c r="S97">
        <v>4992</v>
      </c>
      <c r="T97">
        <v>1</v>
      </c>
      <c r="U97" t="s">
        <v>257</v>
      </c>
      <c r="Y97" t="s">
        <v>32</v>
      </c>
      <c r="AA97">
        <v>4430</v>
      </c>
      <c r="AB97" s="2">
        <v>45967.778090277781</v>
      </c>
      <c r="AC97" s="2">
        <v>45967.778090277781</v>
      </c>
      <c r="AD97" t="s">
        <v>135</v>
      </c>
      <c r="AE97">
        <v>0</v>
      </c>
      <c r="AF97" t="s">
        <v>21</v>
      </c>
      <c r="AG97">
        <v>0</v>
      </c>
      <c r="AK97">
        <v>0</v>
      </c>
      <c r="AN97" t="s">
        <v>272</v>
      </c>
    </row>
    <row r="98" spans="1:40" x14ac:dyDescent="0.35">
      <c r="A98">
        <v>3744</v>
      </c>
      <c r="B98">
        <v>3743</v>
      </c>
      <c r="C98" t="s">
        <v>134</v>
      </c>
      <c r="E98">
        <v>6</v>
      </c>
      <c r="F98">
        <v>19</v>
      </c>
      <c r="I98" t="s">
        <v>32</v>
      </c>
      <c r="J98">
        <v>1</v>
      </c>
      <c r="K98" t="s">
        <v>32</v>
      </c>
      <c r="L98" t="s">
        <v>32</v>
      </c>
      <c r="M98" t="s">
        <v>21</v>
      </c>
      <c r="N98">
        <v>1</v>
      </c>
      <c r="O98">
        <v>-1</v>
      </c>
      <c r="P98" t="s">
        <v>21</v>
      </c>
      <c r="Q98" t="s">
        <v>21</v>
      </c>
      <c r="R98">
        <v>1</v>
      </c>
      <c r="S98">
        <v>4700</v>
      </c>
      <c r="T98">
        <v>3</v>
      </c>
      <c r="Y98" t="s">
        <v>32</v>
      </c>
      <c r="AA98">
        <v>3745</v>
      </c>
      <c r="AB98" s="2">
        <v>45967.778090277781</v>
      </c>
      <c r="AC98" s="2">
        <v>45967.778090277781</v>
      </c>
      <c r="AD98" t="s">
        <v>135</v>
      </c>
      <c r="AE98">
        <v>2</v>
      </c>
      <c r="AF98" t="s">
        <v>21</v>
      </c>
      <c r="AG98">
        <v>0</v>
      </c>
      <c r="AK98">
        <v>0</v>
      </c>
    </row>
    <row r="99" spans="1:40" x14ac:dyDescent="0.35">
      <c r="A99">
        <v>3850</v>
      </c>
      <c r="B99">
        <v>3743</v>
      </c>
      <c r="D99" t="s">
        <v>166</v>
      </c>
      <c r="E99">
        <v>9</v>
      </c>
      <c r="F99">
        <v>9</v>
      </c>
      <c r="G99" t="s">
        <v>167</v>
      </c>
      <c r="I99" t="s">
        <v>32</v>
      </c>
      <c r="J99">
        <v>1</v>
      </c>
      <c r="K99" t="s">
        <v>21</v>
      </c>
      <c r="L99" t="s">
        <v>21</v>
      </c>
      <c r="M99" t="s">
        <v>32</v>
      </c>
      <c r="N99">
        <v>1</v>
      </c>
      <c r="O99">
        <v>-1</v>
      </c>
      <c r="P99" t="s">
        <v>21</v>
      </c>
      <c r="Q99" t="s">
        <v>21</v>
      </c>
      <c r="R99">
        <v>2</v>
      </c>
      <c r="S99">
        <v>4884</v>
      </c>
      <c r="T99">
        <v>4</v>
      </c>
      <c r="U99" t="s">
        <v>168</v>
      </c>
      <c r="X99" t="s">
        <v>169</v>
      </c>
      <c r="Y99" t="s">
        <v>32</v>
      </c>
      <c r="AA99">
        <v>4403</v>
      </c>
      <c r="AB99" s="2">
        <v>45967.778113425928</v>
      </c>
      <c r="AC99" s="2">
        <v>45967.778090277781</v>
      </c>
      <c r="AD99" t="s">
        <v>135</v>
      </c>
      <c r="AE99">
        <v>2</v>
      </c>
      <c r="AF99" t="s">
        <v>21</v>
      </c>
      <c r="AG99">
        <v>0</v>
      </c>
      <c r="AK99">
        <v>0</v>
      </c>
      <c r="AN99" t="s">
        <v>273</v>
      </c>
    </row>
    <row r="100" spans="1:40" x14ac:dyDescent="0.35">
      <c r="A100">
        <v>3851</v>
      </c>
      <c r="B100">
        <v>3743</v>
      </c>
      <c r="C100" t="s">
        <v>171</v>
      </c>
      <c r="E100">
        <v>6</v>
      </c>
      <c r="F100">
        <v>6</v>
      </c>
      <c r="G100" t="s">
        <v>172</v>
      </c>
      <c r="I100" t="s">
        <v>32</v>
      </c>
      <c r="J100">
        <v>1</v>
      </c>
      <c r="K100" t="s">
        <v>21</v>
      </c>
      <c r="L100" t="s">
        <v>21</v>
      </c>
      <c r="M100" t="s">
        <v>32</v>
      </c>
      <c r="N100">
        <v>1</v>
      </c>
      <c r="O100">
        <v>-1</v>
      </c>
      <c r="P100" t="s">
        <v>21</v>
      </c>
      <c r="Q100" t="s">
        <v>21</v>
      </c>
      <c r="R100">
        <v>2</v>
      </c>
      <c r="S100">
        <v>4888</v>
      </c>
      <c r="T100">
        <v>2</v>
      </c>
      <c r="W100" t="s">
        <v>173</v>
      </c>
      <c r="X100">
        <v>0</v>
      </c>
      <c r="Y100" t="s">
        <v>32</v>
      </c>
      <c r="AA100">
        <v>4404</v>
      </c>
      <c r="AB100" s="2">
        <v>45967.778113425928</v>
      </c>
      <c r="AC100" s="2">
        <v>45967.778090277781</v>
      </c>
      <c r="AD100" s="2">
        <v>45967.778113425928</v>
      </c>
      <c r="AE100">
        <v>2</v>
      </c>
      <c r="AF100" t="s">
        <v>21</v>
      </c>
      <c r="AG100">
        <v>0</v>
      </c>
      <c r="AK100">
        <v>0</v>
      </c>
      <c r="AN100" t="s">
        <v>274</v>
      </c>
    </row>
    <row r="101" spans="1:40" x14ac:dyDescent="0.35">
      <c r="A101">
        <v>3852</v>
      </c>
      <c r="B101">
        <v>3743</v>
      </c>
      <c r="C101" t="s">
        <v>175</v>
      </c>
      <c r="E101">
        <v>6</v>
      </c>
      <c r="F101">
        <v>6</v>
      </c>
      <c r="G101" t="s">
        <v>176</v>
      </c>
      <c r="I101" t="s">
        <v>32</v>
      </c>
      <c r="J101">
        <v>1</v>
      </c>
      <c r="K101" t="s">
        <v>21</v>
      </c>
      <c r="L101" t="s">
        <v>21</v>
      </c>
      <c r="M101" t="s">
        <v>32</v>
      </c>
      <c r="N101">
        <v>1</v>
      </c>
      <c r="O101">
        <v>-1</v>
      </c>
      <c r="P101" t="s">
        <v>21</v>
      </c>
      <c r="Q101" t="s">
        <v>21</v>
      </c>
      <c r="R101">
        <v>2</v>
      </c>
      <c r="S101">
        <v>4892</v>
      </c>
      <c r="T101">
        <v>2</v>
      </c>
      <c r="W101" t="s">
        <v>177</v>
      </c>
      <c r="X101">
        <v>0</v>
      </c>
      <c r="Y101" t="s">
        <v>32</v>
      </c>
      <c r="AA101">
        <v>4405</v>
      </c>
      <c r="AB101" s="2">
        <v>45967.778113425928</v>
      </c>
      <c r="AC101" s="2">
        <v>45967.778090277781</v>
      </c>
      <c r="AD101" s="2">
        <v>45967.778113425928</v>
      </c>
      <c r="AE101">
        <v>2</v>
      </c>
      <c r="AF101" t="s">
        <v>21</v>
      </c>
      <c r="AG101">
        <v>0</v>
      </c>
      <c r="AK101">
        <v>0</v>
      </c>
      <c r="AN101" t="s">
        <v>275</v>
      </c>
    </row>
    <row r="102" spans="1:40" x14ac:dyDescent="0.35">
      <c r="A102">
        <v>3853</v>
      </c>
      <c r="B102">
        <v>3743</v>
      </c>
      <c r="C102" t="s">
        <v>179</v>
      </c>
      <c r="E102">
        <v>2</v>
      </c>
      <c r="F102">
        <v>2</v>
      </c>
      <c r="G102" t="s">
        <v>180</v>
      </c>
      <c r="I102" t="s">
        <v>32</v>
      </c>
      <c r="J102">
        <v>1</v>
      </c>
      <c r="K102" t="s">
        <v>21</v>
      </c>
      <c r="L102" t="s">
        <v>21</v>
      </c>
      <c r="M102" t="s">
        <v>32</v>
      </c>
      <c r="N102">
        <v>1</v>
      </c>
      <c r="O102">
        <v>-1</v>
      </c>
      <c r="P102" t="s">
        <v>21</v>
      </c>
      <c r="Q102" t="s">
        <v>21</v>
      </c>
      <c r="R102">
        <v>2</v>
      </c>
      <c r="S102">
        <v>4896</v>
      </c>
      <c r="T102">
        <v>2</v>
      </c>
      <c r="W102" t="s">
        <v>181</v>
      </c>
      <c r="Y102" t="s">
        <v>32</v>
      </c>
      <c r="Z102">
        <v>3852</v>
      </c>
      <c r="AA102">
        <v>4406</v>
      </c>
      <c r="AB102" s="2">
        <v>45967.778113425928</v>
      </c>
      <c r="AC102" s="2">
        <v>45967.778090277781</v>
      </c>
      <c r="AD102" s="2">
        <v>45967.778113425928</v>
      </c>
      <c r="AE102">
        <v>2</v>
      </c>
      <c r="AF102" t="s">
        <v>21</v>
      </c>
      <c r="AG102">
        <v>0</v>
      </c>
      <c r="AK102">
        <v>0</v>
      </c>
      <c r="AN102" t="s">
        <v>276</v>
      </c>
    </row>
    <row r="103" spans="1:40" x14ac:dyDescent="0.35">
      <c r="A103">
        <v>3854</v>
      </c>
      <c r="B103">
        <v>3743</v>
      </c>
      <c r="C103" t="s">
        <v>183</v>
      </c>
      <c r="E103">
        <v>6</v>
      </c>
      <c r="F103">
        <v>6</v>
      </c>
      <c r="G103" t="s">
        <v>184</v>
      </c>
      <c r="I103" t="s">
        <v>32</v>
      </c>
      <c r="J103">
        <v>1</v>
      </c>
      <c r="K103" t="s">
        <v>21</v>
      </c>
      <c r="L103" t="s">
        <v>21</v>
      </c>
      <c r="M103" t="s">
        <v>32</v>
      </c>
      <c r="N103">
        <v>1</v>
      </c>
      <c r="O103">
        <v>-1</v>
      </c>
      <c r="P103" t="s">
        <v>21</v>
      </c>
      <c r="Q103" t="s">
        <v>21</v>
      </c>
      <c r="R103">
        <v>2</v>
      </c>
      <c r="S103">
        <v>4900</v>
      </c>
      <c r="T103">
        <v>2</v>
      </c>
      <c r="W103" t="s">
        <v>185</v>
      </c>
      <c r="X103">
        <v>0</v>
      </c>
      <c r="Y103" t="s">
        <v>32</v>
      </c>
      <c r="AA103">
        <v>4407</v>
      </c>
      <c r="AB103" s="2">
        <v>45967.778113425928</v>
      </c>
      <c r="AC103" s="2">
        <v>45967.778090277781</v>
      </c>
      <c r="AD103" s="2">
        <v>45967.778113425928</v>
      </c>
      <c r="AE103">
        <v>2</v>
      </c>
      <c r="AF103" t="s">
        <v>21</v>
      </c>
      <c r="AG103">
        <v>0</v>
      </c>
      <c r="AK103">
        <v>0</v>
      </c>
      <c r="AN103" t="s">
        <v>277</v>
      </c>
    </row>
    <row r="104" spans="1:40" x14ac:dyDescent="0.35">
      <c r="A104">
        <v>3855</v>
      </c>
      <c r="B104">
        <v>3743</v>
      </c>
      <c r="C104" t="s">
        <v>187</v>
      </c>
      <c r="E104">
        <v>2</v>
      </c>
      <c r="F104">
        <v>2</v>
      </c>
      <c r="G104" t="s">
        <v>188</v>
      </c>
      <c r="I104" t="s">
        <v>32</v>
      </c>
      <c r="J104">
        <v>1</v>
      </c>
      <c r="K104" t="s">
        <v>21</v>
      </c>
      <c r="L104" t="s">
        <v>21</v>
      </c>
      <c r="M104" t="s">
        <v>32</v>
      </c>
      <c r="N104">
        <v>1</v>
      </c>
      <c r="O104">
        <v>-1</v>
      </c>
      <c r="P104" t="s">
        <v>21</v>
      </c>
      <c r="Q104" t="s">
        <v>21</v>
      </c>
      <c r="R104">
        <v>2</v>
      </c>
      <c r="S104">
        <v>4904</v>
      </c>
      <c r="T104">
        <v>2</v>
      </c>
      <c r="W104" t="s">
        <v>189</v>
      </c>
      <c r="Y104" t="s">
        <v>32</v>
      </c>
      <c r="Z104">
        <v>3854</v>
      </c>
      <c r="AA104">
        <v>4408</v>
      </c>
      <c r="AB104" s="2">
        <v>45967.778113425928</v>
      </c>
      <c r="AC104" s="2">
        <v>45967.778090277781</v>
      </c>
      <c r="AD104" s="2">
        <v>45967.778113425928</v>
      </c>
      <c r="AE104">
        <v>2</v>
      </c>
      <c r="AF104" t="s">
        <v>21</v>
      </c>
      <c r="AG104">
        <v>0</v>
      </c>
      <c r="AK104">
        <v>0</v>
      </c>
      <c r="AN104" t="s">
        <v>278</v>
      </c>
    </row>
    <row r="105" spans="1:40" x14ac:dyDescent="0.35">
      <c r="A105">
        <v>3856</v>
      </c>
      <c r="B105">
        <v>3743</v>
      </c>
      <c r="C105" t="s">
        <v>191</v>
      </c>
      <c r="E105">
        <v>6</v>
      </c>
      <c r="F105">
        <v>6</v>
      </c>
      <c r="G105" t="s">
        <v>192</v>
      </c>
      <c r="I105" t="s">
        <v>32</v>
      </c>
      <c r="J105">
        <v>1</v>
      </c>
      <c r="K105" t="s">
        <v>21</v>
      </c>
      <c r="L105" t="s">
        <v>21</v>
      </c>
      <c r="M105" t="s">
        <v>32</v>
      </c>
      <c r="N105">
        <v>1</v>
      </c>
      <c r="O105">
        <v>-1</v>
      </c>
      <c r="P105" t="s">
        <v>21</v>
      </c>
      <c r="Q105" t="s">
        <v>21</v>
      </c>
      <c r="R105">
        <v>2</v>
      </c>
      <c r="S105">
        <v>4908</v>
      </c>
      <c r="T105">
        <v>2</v>
      </c>
      <c r="W105" t="s">
        <v>193</v>
      </c>
      <c r="X105">
        <v>0</v>
      </c>
      <c r="Y105" t="s">
        <v>32</v>
      </c>
      <c r="AA105">
        <v>4409</v>
      </c>
      <c r="AB105" s="2">
        <v>45967.778113425928</v>
      </c>
      <c r="AC105" s="2">
        <v>45967.778090277781</v>
      </c>
      <c r="AD105" s="2">
        <v>45967.778113425928</v>
      </c>
      <c r="AE105">
        <v>2</v>
      </c>
      <c r="AF105" t="s">
        <v>21</v>
      </c>
      <c r="AG105">
        <v>0</v>
      </c>
      <c r="AK105">
        <v>0</v>
      </c>
      <c r="AN105" t="s">
        <v>279</v>
      </c>
    </row>
    <row r="106" spans="1:40" x14ac:dyDescent="0.35">
      <c r="A106">
        <v>3750</v>
      </c>
      <c r="B106">
        <v>3749</v>
      </c>
      <c r="C106" t="s">
        <v>134</v>
      </c>
      <c r="E106">
        <v>6</v>
      </c>
      <c r="F106">
        <v>19</v>
      </c>
      <c r="I106" t="s">
        <v>32</v>
      </c>
      <c r="J106">
        <v>1</v>
      </c>
      <c r="K106" t="s">
        <v>32</v>
      </c>
      <c r="L106" t="s">
        <v>32</v>
      </c>
      <c r="M106" t="s">
        <v>21</v>
      </c>
      <c r="N106">
        <v>1</v>
      </c>
      <c r="O106">
        <v>-1</v>
      </c>
      <c r="P106" t="s">
        <v>21</v>
      </c>
      <c r="Q106" t="s">
        <v>21</v>
      </c>
      <c r="R106">
        <v>1</v>
      </c>
      <c r="S106">
        <v>4708</v>
      </c>
      <c r="T106">
        <v>3</v>
      </c>
      <c r="Y106" t="s">
        <v>32</v>
      </c>
      <c r="AA106">
        <v>3751</v>
      </c>
      <c r="AB106" s="2">
        <v>45967.778090277781</v>
      </c>
      <c r="AC106" s="2">
        <v>45967.778090277781</v>
      </c>
      <c r="AD106" t="s">
        <v>135</v>
      </c>
      <c r="AE106">
        <v>2</v>
      </c>
      <c r="AF106" t="s">
        <v>21</v>
      </c>
      <c r="AG106">
        <v>0</v>
      </c>
      <c r="AK106">
        <v>0</v>
      </c>
    </row>
    <row r="107" spans="1:40" x14ac:dyDescent="0.35">
      <c r="A107">
        <v>3866</v>
      </c>
      <c r="B107">
        <v>3749</v>
      </c>
      <c r="D107" t="s">
        <v>166</v>
      </c>
      <c r="E107">
        <v>9</v>
      </c>
      <c r="F107">
        <v>9</v>
      </c>
      <c r="G107" t="s">
        <v>167</v>
      </c>
      <c r="I107" t="s">
        <v>32</v>
      </c>
      <c r="J107">
        <v>1</v>
      </c>
      <c r="K107" t="s">
        <v>21</v>
      </c>
      <c r="L107" t="s">
        <v>21</v>
      </c>
      <c r="M107" t="s">
        <v>32</v>
      </c>
      <c r="N107">
        <v>1</v>
      </c>
      <c r="O107">
        <v>-1</v>
      </c>
      <c r="P107" t="s">
        <v>21</v>
      </c>
      <c r="Q107" t="s">
        <v>21</v>
      </c>
      <c r="R107">
        <v>2</v>
      </c>
      <c r="S107">
        <v>4948</v>
      </c>
      <c r="T107">
        <v>4</v>
      </c>
      <c r="U107" t="s">
        <v>168</v>
      </c>
      <c r="X107" t="s">
        <v>169</v>
      </c>
      <c r="Y107" t="s">
        <v>32</v>
      </c>
      <c r="AA107">
        <v>4419</v>
      </c>
      <c r="AB107" s="2">
        <v>45967.778113425928</v>
      </c>
      <c r="AC107" s="2">
        <v>45967.778090277781</v>
      </c>
      <c r="AD107" t="s">
        <v>135</v>
      </c>
      <c r="AE107">
        <v>2</v>
      </c>
      <c r="AF107" t="s">
        <v>21</v>
      </c>
      <c r="AG107">
        <v>0</v>
      </c>
      <c r="AK107">
        <v>0</v>
      </c>
      <c r="AN107" t="s">
        <v>280</v>
      </c>
    </row>
    <row r="108" spans="1:40" x14ac:dyDescent="0.35">
      <c r="A108">
        <v>3867</v>
      </c>
      <c r="B108">
        <v>3749</v>
      </c>
      <c r="C108" t="s">
        <v>171</v>
      </c>
      <c r="E108">
        <v>6</v>
      </c>
      <c r="F108">
        <v>6</v>
      </c>
      <c r="G108" t="s">
        <v>172</v>
      </c>
      <c r="I108" t="s">
        <v>32</v>
      </c>
      <c r="J108">
        <v>1</v>
      </c>
      <c r="K108" t="s">
        <v>21</v>
      </c>
      <c r="L108" t="s">
        <v>21</v>
      </c>
      <c r="M108" t="s">
        <v>32</v>
      </c>
      <c r="N108">
        <v>1</v>
      </c>
      <c r="O108">
        <v>-1</v>
      </c>
      <c r="P108" t="s">
        <v>21</v>
      </c>
      <c r="Q108" t="s">
        <v>21</v>
      </c>
      <c r="R108">
        <v>2</v>
      </c>
      <c r="S108">
        <v>4952</v>
      </c>
      <c r="T108">
        <v>2</v>
      </c>
      <c r="W108" t="s">
        <v>173</v>
      </c>
      <c r="X108">
        <v>0</v>
      </c>
      <c r="Y108" t="s">
        <v>32</v>
      </c>
      <c r="AA108">
        <v>4420</v>
      </c>
      <c r="AB108" s="2">
        <v>45967.778113425928</v>
      </c>
      <c r="AC108" s="2">
        <v>45967.778090277781</v>
      </c>
      <c r="AD108" s="2">
        <v>45967.778113425928</v>
      </c>
      <c r="AE108">
        <v>2</v>
      </c>
      <c r="AF108" t="s">
        <v>21</v>
      </c>
      <c r="AG108">
        <v>0</v>
      </c>
      <c r="AK108">
        <v>0</v>
      </c>
      <c r="AN108" t="s">
        <v>281</v>
      </c>
    </row>
    <row r="109" spans="1:40" x14ac:dyDescent="0.35">
      <c r="A109">
        <v>3868</v>
      </c>
      <c r="B109">
        <v>3749</v>
      </c>
      <c r="C109" t="s">
        <v>175</v>
      </c>
      <c r="E109">
        <v>6</v>
      </c>
      <c r="F109">
        <v>6</v>
      </c>
      <c r="G109" t="s">
        <v>176</v>
      </c>
      <c r="I109" t="s">
        <v>32</v>
      </c>
      <c r="J109">
        <v>1</v>
      </c>
      <c r="K109" t="s">
        <v>21</v>
      </c>
      <c r="L109" t="s">
        <v>21</v>
      </c>
      <c r="M109" t="s">
        <v>32</v>
      </c>
      <c r="N109">
        <v>1</v>
      </c>
      <c r="O109">
        <v>-1</v>
      </c>
      <c r="P109" t="s">
        <v>21</v>
      </c>
      <c r="Q109" t="s">
        <v>21</v>
      </c>
      <c r="R109">
        <v>2</v>
      </c>
      <c r="S109">
        <v>4956</v>
      </c>
      <c r="T109">
        <v>2</v>
      </c>
      <c r="W109" t="s">
        <v>177</v>
      </c>
      <c r="X109">
        <v>0</v>
      </c>
      <c r="Y109" t="s">
        <v>32</v>
      </c>
      <c r="AA109">
        <v>4421</v>
      </c>
      <c r="AB109" s="2">
        <v>45967.778113425928</v>
      </c>
      <c r="AC109" s="2">
        <v>45967.778090277781</v>
      </c>
      <c r="AD109" s="2">
        <v>45967.778113425928</v>
      </c>
      <c r="AE109">
        <v>2</v>
      </c>
      <c r="AF109" t="s">
        <v>21</v>
      </c>
      <c r="AG109">
        <v>0</v>
      </c>
      <c r="AK109">
        <v>0</v>
      </c>
      <c r="AN109" t="s">
        <v>282</v>
      </c>
    </row>
    <row r="110" spans="1:40" x14ac:dyDescent="0.35">
      <c r="A110">
        <v>3869</v>
      </c>
      <c r="B110">
        <v>3749</v>
      </c>
      <c r="C110" t="s">
        <v>179</v>
      </c>
      <c r="E110">
        <v>2</v>
      </c>
      <c r="F110">
        <v>2</v>
      </c>
      <c r="G110" t="s">
        <v>180</v>
      </c>
      <c r="I110" t="s">
        <v>32</v>
      </c>
      <c r="J110">
        <v>1</v>
      </c>
      <c r="K110" t="s">
        <v>21</v>
      </c>
      <c r="L110" t="s">
        <v>21</v>
      </c>
      <c r="M110" t="s">
        <v>32</v>
      </c>
      <c r="N110">
        <v>1</v>
      </c>
      <c r="O110">
        <v>-1</v>
      </c>
      <c r="P110" t="s">
        <v>21</v>
      </c>
      <c r="Q110" t="s">
        <v>21</v>
      </c>
      <c r="R110">
        <v>2</v>
      </c>
      <c r="S110">
        <v>4960</v>
      </c>
      <c r="T110">
        <v>2</v>
      </c>
      <c r="W110" t="s">
        <v>181</v>
      </c>
      <c r="Y110" t="s">
        <v>32</v>
      </c>
      <c r="Z110">
        <v>3868</v>
      </c>
      <c r="AA110">
        <v>4422</v>
      </c>
      <c r="AB110" s="2">
        <v>45967.778113425928</v>
      </c>
      <c r="AC110" s="2">
        <v>45967.778090277781</v>
      </c>
      <c r="AD110" s="2">
        <v>45967.778113425928</v>
      </c>
      <c r="AE110">
        <v>2</v>
      </c>
      <c r="AF110" t="s">
        <v>21</v>
      </c>
      <c r="AG110">
        <v>0</v>
      </c>
      <c r="AK110">
        <v>0</v>
      </c>
      <c r="AN110" t="s">
        <v>283</v>
      </c>
    </row>
    <row r="111" spans="1:40" x14ac:dyDescent="0.35">
      <c r="A111">
        <v>3870</v>
      </c>
      <c r="B111">
        <v>3749</v>
      </c>
      <c r="C111" t="s">
        <v>183</v>
      </c>
      <c r="E111">
        <v>6</v>
      </c>
      <c r="F111">
        <v>6</v>
      </c>
      <c r="G111" t="s">
        <v>184</v>
      </c>
      <c r="I111" t="s">
        <v>32</v>
      </c>
      <c r="J111">
        <v>1</v>
      </c>
      <c r="K111" t="s">
        <v>21</v>
      </c>
      <c r="L111" t="s">
        <v>21</v>
      </c>
      <c r="M111" t="s">
        <v>32</v>
      </c>
      <c r="N111">
        <v>1</v>
      </c>
      <c r="O111">
        <v>-1</v>
      </c>
      <c r="P111" t="s">
        <v>21</v>
      </c>
      <c r="Q111" t="s">
        <v>21</v>
      </c>
      <c r="R111">
        <v>2</v>
      </c>
      <c r="S111">
        <v>4964</v>
      </c>
      <c r="T111">
        <v>2</v>
      </c>
      <c r="W111" t="s">
        <v>185</v>
      </c>
      <c r="X111">
        <v>0</v>
      </c>
      <c r="Y111" t="s">
        <v>32</v>
      </c>
      <c r="AA111">
        <v>4423</v>
      </c>
      <c r="AB111" s="2">
        <v>45967.778113425928</v>
      </c>
      <c r="AC111" s="2">
        <v>45967.778090277781</v>
      </c>
      <c r="AD111" s="2">
        <v>45967.778113425928</v>
      </c>
      <c r="AE111">
        <v>2</v>
      </c>
      <c r="AF111" t="s">
        <v>21</v>
      </c>
      <c r="AG111">
        <v>0</v>
      </c>
      <c r="AK111">
        <v>0</v>
      </c>
      <c r="AN111" t="s">
        <v>284</v>
      </c>
    </row>
    <row r="112" spans="1:40" x14ac:dyDescent="0.35">
      <c r="A112">
        <v>3871</v>
      </c>
      <c r="B112">
        <v>3749</v>
      </c>
      <c r="C112" t="s">
        <v>187</v>
      </c>
      <c r="E112">
        <v>2</v>
      </c>
      <c r="F112">
        <v>2</v>
      </c>
      <c r="G112" t="s">
        <v>188</v>
      </c>
      <c r="I112" t="s">
        <v>32</v>
      </c>
      <c r="J112">
        <v>1</v>
      </c>
      <c r="K112" t="s">
        <v>21</v>
      </c>
      <c r="L112" t="s">
        <v>21</v>
      </c>
      <c r="M112" t="s">
        <v>32</v>
      </c>
      <c r="N112">
        <v>1</v>
      </c>
      <c r="O112">
        <v>-1</v>
      </c>
      <c r="P112" t="s">
        <v>21</v>
      </c>
      <c r="Q112" t="s">
        <v>21</v>
      </c>
      <c r="R112">
        <v>2</v>
      </c>
      <c r="S112">
        <v>4968</v>
      </c>
      <c r="T112">
        <v>2</v>
      </c>
      <c r="W112" t="s">
        <v>189</v>
      </c>
      <c r="Y112" t="s">
        <v>32</v>
      </c>
      <c r="Z112">
        <v>3870</v>
      </c>
      <c r="AA112">
        <v>4424</v>
      </c>
      <c r="AB112" s="2">
        <v>45967.778113425928</v>
      </c>
      <c r="AC112" s="2">
        <v>45967.778090277781</v>
      </c>
      <c r="AD112" s="2">
        <v>45967.778113425928</v>
      </c>
      <c r="AE112">
        <v>2</v>
      </c>
      <c r="AF112" t="s">
        <v>21</v>
      </c>
      <c r="AG112">
        <v>0</v>
      </c>
      <c r="AK112">
        <v>0</v>
      </c>
      <c r="AN112" t="s">
        <v>285</v>
      </c>
    </row>
    <row r="113" spans="1:40" x14ac:dyDescent="0.35">
      <c r="A113">
        <v>3872</v>
      </c>
      <c r="B113">
        <v>3749</v>
      </c>
      <c r="C113" t="s">
        <v>191</v>
      </c>
      <c r="E113">
        <v>6</v>
      </c>
      <c r="F113">
        <v>6</v>
      </c>
      <c r="G113" t="s">
        <v>192</v>
      </c>
      <c r="I113" t="s">
        <v>32</v>
      </c>
      <c r="J113">
        <v>1</v>
      </c>
      <c r="K113" t="s">
        <v>21</v>
      </c>
      <c r="L113" t="s">
        <v>21</v>
      </c>
      <c r="M113" t="s">
        <v>32</v>
      </c>
      <c r="N113">
        <v>1</v>
      </c>
      <c r="O113">
        <v>-1</v>
      </c>
      <c r="P113" t="s">
        <v>21</v>
      </c>
      <c r="Q113" t="s">
        <v>21</v>
      </c>
      <c r="R113">
        <v>2</v>
      </c>
      <c r="S113">
        <v>4972</v>
      </c>
      <c r="T113">
        <v>2</v>
      </c>
      <c r="W113" t="s">
        <v>193</v>
      </c>
      <c r="X113">
        <v>0</v>
      </c>
      <c r="Y113" t="s">
        <v>32</v>
      </c>
      <c r="AA113">
        <v>4425</v>
      </c>
      <c r="AB113" s="2">
        <v>45967.778113425928</v>
      </c>
      <c r="AC113" s="2">
        <v>45967.778090277781</v>
      </c>
      <c r="AD113" s="2">
        <v>45967.778113425928</v>
      </c>
      <c r="AE113">
        <v>2</v>
      </c>
      <c r="AF113" t="s">
        <v>21</v>
      </c>
      <c r="AG113">
        <v>0</v>
      </c>
      <c r="AK113">
        <v>0</v>
      </c>
      <c r="AN113" t="s">
        <v>286</v>
      </c>
    </row>
    <row r="114" spans="1:40" x14ac:dyDescent="0.35">
      <c r="A114">
        <v>3753</v>
      </c>
      <c r="B114">
        <v>3752</v>
      </c>
      <c r="C114" t="s">
        <v>134</v>
      </c>
      <c r="E114">
        <v>6</v>
      </c>
      <c r="F114">
        <v>19</v>
      </c>
      <c r="I114" t="s">
        <v>32</v>
      </c>
      <c r="J114">
        <v>1</v>
      </c>
      <c r="K114" t="s">
        <v>32</v>
      </c>
      <c r="L114" t="s">
        <v>32</v>
      </c>
      <c r="M114" t="s">
        <v>21</v>
      </c>
      <c r="N114">
        <v>1</v>
      </c>
      <c r="O114">
        <v>-1</v>
      </c>
      <c r="P114" t="s">
        <v>21</v>
      </c>
      <c r="Q114" t="s">
        <v>21</v>
      </c>
      <c r="R114">
        <v>1</v>
      </c>
      <c r="S114">
        <v>4712</v>
      </c>
      <c r="T114">
        <v>3</v>
      </c>
      <c r="Y114" t="s">
        <v>32</v>
      </c>
      <c r="AA114">
        <v>3754</v>
      </c>
      <c r="AB114" s="2">
        <v>45967.778090277781</v>
      </c>
      <c r="AC114" s="2">
        <v>45967.778090277781</v>
      </c>
      <c r="AD114" t="s">
        <v>135</v>
      </c>
      <c r="AE114">
        <v>0</v>
      </c>
      <c r="AF114" t="s">
        <v>21</v>
      </c>
      <c r="AG114">
        <v>0</v>
      </c>
      <c r="AK114">
        <v>0</v>
      </c>
    </row>
    <row r="115" spans="1:40" x14ac:dyDescent="0.35">
      <c r="A115">
        <v>3878</v>
      </c>
      <c r="B115">
        <v>3752</v>
      </c>
      <c r="C115" t="s">
        <v>287</v>
      </c>
      <c r="E115">
        <v>6</v>
      </c>
      <c r="F115">
        <v>19</v>
      </c>
      <c r="I115" t="s">
        <v>21</v>
      </c>
      <c r="J115">
        <v>1</v>
      </c>
      <c r="K115" t="s">
        <v>21</v>
      </c>
      <c r="L115" t="s">
        <v>21</v>
      </c>
      <c r="M115" t="s">
        <v>32</v>
      </c>
      <c r="N115">
        <v>1</v>
      </c>
      <c r="O115">
        <v>-1</v>
      </c>
      <c r="P115" t="s">
        <v>21</v>
      </c>
      <c r="Q115" t="s">
        <v>21</v>
      </c>
      <c r="R115">
        <v>3</v>
      </c>
      <c r="S115">
        <v>4996</v>
      </c>
      <c r="T115">
        <v>1</v>
      </c>
      <c r="U115" t="s">
        <v>287</v>
      </c>
      <c r="X115">
        <v>0</v>
      </c>
      <c r="Y115" t="s">
        <v>32</v>
      </c>
      <c r="AA115">
        <v>4431</v>
      </c>
      <c r="AB115" s="2">
        <v>45967.778090277781</v>
      </c>
      <c r="AC115" s="2">
        <v>45967.778090277781</v>
      </c>
      <c r="AD115" t="s">
        <v>135</v>
      </c>
      <c r="AE115">
        <v>0</v>
      </c>
      <c r="AF115" t="s">
        <v>21</v>
      </c>
      <c r="AG115">
        <v>0</v>
      </c>
      <c r="AK115">
        <v>0</v>
      </c>
      <c r="AN115" t="s">
        <v>288</v>
      </c>
    </row>
    <row r="116" spans="1:40" x14ac:dyDescent="0.35">
      <c r="A116">
        <v>3879</v>
      </c>
      <c r="B116">
        <v>3752</v>
      </c>
      <c r="C116" t="s">
        <v>289</v>
      </c>
      <c r="E116">
        <v>2</v>
      </c>
      <c r="F116">
        <v>19</v>
      </c>
      <c r="I116" t="s">
        <v>21</v>
      </c>
      <c r="J116">
        <v>1</v>
      </c>
      <c r="K116" t="s">
        <v>21</v>
      </c>
      <c r="L116" t="s">
        <v>21</v>
      </c>
      <c r="M116" t="s">
        <v>32</v>
      </c>
      <c r="N116">
        <v>1</v>
      </c>
      <c r="O116">
        <v>-1</v>
      </c>
      <c r="P116" t="s">
        <v>21</v>
      </c>
      <c r="Q116" t="s">
        <v>21</v>
      </c>
      <c r="R116">
        <v>2</v>
      </c>
      <c r="S116">
        <v>5000</v>
      </c>
      <c r="T116">
        <v>1</v>
      </c>
      <c r="U116" t="s">
        <v>289</v>
      </c>
      <c r="Y116" t="s">
        <v>32</v>
      </c>
      <c r="AA116">
        <v>4432</v>
      </c>
      <c r="AB116" s="2">
        <v>45967.778090277781</v>
      </c>
      <c r="AC116" s="2">
        <v>45967.778090277781</v>
      </c>
      <c r="AD116" t="s">
        <v>135</v>
      </c>
      <c r="AE116">
        <v>0</v>
      </c>
      <c r="AF116" t="s">
        <v>21</v>
      </c>
      <c r="AG116">
        <v>0</v>
      </c>
      <c r="AK116">
        <v>0</v>
      </c>
      <c r="AN116" t="s">
        <v>290</v>
      </c>
    </row>
    <row r="117" spans="1:40" x14ac:dyDescent="0.35">
      <c r="A117">
        <v>3880</v>
      </c>
      <c r="B117">
        <v>3752</v>
      </c>
      <c r="C117" t="s">
        <v>291</v>
      </c>
      <c r="E117">
        <v>2</v>
      </c>
      <c r="F117">
        <v>19</v>
      </c>
      <c r="I117" t="s">
        <v>21</v>
      </c>
      <c r="J117">
        <v>1</v>
      </c>
      <c r="K117" t="s">
        <v>21</v>
      </c>
      <c r="L117" t="s">
        <v>21</v>
      </c>
      <c r="M117" t="s">
        <v>32</v>
      </c>
      <c r="N117">
        <v>1</v>
      </c>
      <c r="O117">
        <v>-1</v>
      </c>
      <c r="P117" t="s">
        <v>21</v>
      </c>
      <c r="Q117" t="s">
        <v>21</v>
      </c>
      <c r="R117">
        <v>2</v>
      </c>
      <c r="S117">
        <v>5004</v>
      </c>
      <c r="T117">
        <v>1</v>
      </c>
      <c r="U117" t="s">
        <v>291</v>
      </c>
      <c r="Y117" t="s">
        <v>32</v>
      </c>
      <c r="AA117">
        <v>4433</v>
      </c>
      <c r="AB117" s="2">
        <v>45967.778090277781</v>
      </c>
      <c r="AC117" s="2">
        <v>45967.778090277781</v>
      </c>
      <c r="AD117" t="s">
        <v>135</v>
      </c>
      <c r="AE117">
        <v>0</v>
      </c>
      <c r="AF117" t="s">
        <v>21</v>
      </c>
      <c r="AG117">
        <v>0</v>
      </c>
      <c r="AK117">
        <v>0</v>
      </c>
      <c r="AN117" t="s">
        <v>292</v>
      </c>
    </row>
    <row r="118" spans="1:40" x14ac:dyDescent="0.35">
      <c r="A118">
        <v>3881</v>
      </c>
      <c r="B118">
        <v>3752</v>
      </c>
      <c r="C118" t="s">
        <v>293</v>
      </c>
      <c r="E118">
        <v>9</v>
      </c>
      <c r="F118">
        <v>19</v>
      </c>
      <c r="I118" t="s">
        <v>21</v>
      </c>
      <c r="J118">
        <v>1</v>
      </c>
      <c r="K118" t="s">
        <v>21</v>
      </c>
      <c r="L118" t="s">
        <v>21</v>
      </c>
      <c r="M118" t="s">
        <v>32</v>
      </c>
      <c r="N118">
        <v>1</v>
      </c>
      <c r="O118">
        <v>-1</v>
      </c>
      <c r="P118" t="s">
        <v>21</v>
      </c>
      <c r="Q118" t="s">
        <v>21</v>
      </c>
      <c r="R118">
        <v>2</v>
      </c>
      <c r="S118">
        <v>5008</v>
      </c>
      <c r="T118">
        <v>1</v>
      </c>
      <c r="U118" t="s">
        <v>293</v>
      </c>
      <c r="X118" t="s">
        <v>160</v>
      </c>
      <c r="Y118" t="s">
        <v>32</v>
      </c>
      <c r="AA118">
        <v>4434</v>
      </c>
      <c r="AB118" s="2">
        <v>45967.778090277781</v>
      </c>
      <c r="AC118" s="2">
        <v>45967.799328703702</v>
      </c>
      <c r="AD118" t="s">
        <v>135</v>
      </c>
      <c r="AE118">
        <v>0</v>
      </c>
      <c r="AF118" t="s">
        <v>21</v>
      </c>
      <c r="AG118">
        <v>0</v>
      </c>
      <c r="AK118">
        <v>0</v>
      </c>
      <c r="AN118" t="s">
        <v>294</v>
      </c>
    </row>
    <row r="119" spans="1:40" x14ac:dyDescent="0.35">
      <c r="A119">
        <v>3889</v>
      </c>
      <c r="B119">
        <v>3752</v>
      </c>
      <c r="C119" t="s">
        <v>250</v>
      </c>
      <c r="E119">
        <v>8</v>
      </c>
      <c r="F119">
        <v>19</v>
      </c>
      <c r="I119" t="s">
        <v>21</v>
      </c>
      <c r="J119">
        <v>1</v>
      </c>
      <c r="K119" t="s">
        <v>21</v>
      </c>
      <c r="L119" t="s">
        <v>21</v>
      </c>
      <c r="M119" t="s">
        <v>32</v>
      </c>
      <c r="N119">
        <v>1</v>
      </c>
      <c r="O119">
        <v>-1</v>
      </c>
      <c r="P119" t="s">
        <v>21</v>
      </c>
      <c r="Q119" t="s">
        <v>21</v>
      </c>
      <c r="R119">
        <v>3</v>
      </c>
      <c r="S119">
        <v>5040</v>
      </c>
      <c r="T119">
        <v>1</v>
      </c>
      <c r="U119" t="s">
        <v>250</v>
      </c>
      <c r="Y119" t="s">
        <v>32</v>
      </c>
      <c r="AA119">
        <v>4442</v>
      </c>
      <c r="AB119" s="2">
        <v>45967.778090277781</v>
      </c>
      <c r="AC119" s="2">
        <v>45967.778090277781</v>
      </c>
      <c r="AD119" t="s">
        <v>135</v>
      </c>
      <c r="AE119">
        <v>0</v>
      </c>
      <c r="AF119" t="s">
        <v>21</v>
      </c>
      <c r="AG119">
        <v>0</v>
      </c>
      <c r="AK119">
        <v>0</v>
      </c>
      <c r="AN119" t="s">
        <v>295</v>
      </c>
    </row>
    <row r="120" spans="1:40" x14ac:dyDescent="0.35">
      <c r="A120">
        <v>3890</v>
      </c>
      <c r="B120">
        <v>3752</v>
      </c>
      <c r="C120" t="s">
        <v>296</v>
      </c>
      <c r="E120">
        <v>6</v>
      </c>
      <c r="F120">
        <v>19</v>
      </c>
      <c r="I120" t="s">
        <v>21</v>
      </c>
      <c r="J120">
        <v>1</v>
      </c>
      <c r="K120" t="s">
        <v>21</v>
      </c>
      <c r="L120" t="s">
        <v>21</v>
      </c>
      <c r="M120" t="s">
        <v>32</v>
      </c>
      <c r="N120">
        <v>1</v>
      </c>
      <c r="O120">
        <v>-1</v>
      </c>
      <c r="P120" t="s">
        <v>21</v>
      </c>
      <c r="Q120" t="s">
        <v>21</v>
      </c>
      <c r="R120">
        <v>3</v>
      </c>
      <c r="S120">
        <v>5044</v>
      </c>
      <c r="T120">
        <v>1</v>
      </c>
      <c r="U120" t="s">
        <v>296</v>
      </c>
      <c r="X120">
        <v>0</v>
      </c>
      <c r="Y120" t="s">
        <v>32</v>
      </c>
      <c r="AA120">
        <v>4443</v>
      </c>
      <c r="AB120" s="2">
        <v>45967.778090277781</v>
      </c>
      <c r="AC120" s="2">
        <v>45967.778090277781</v>
      </c>
      <c r="AD120" t="s">
        <v>135</v>
      </c>
      <c r="AE120">
        <v>0</v>
      </c>
      <c r="AF120" t="s">
        <v>21</v>
      </c>
      <c r="AG120">
        <v>0</v>
      </c>
      <c r="AK120">
        <v>0</v>
      </c>
      <c r="AN120" t="s">
        <v>297</v>
      </c>
    </row>
    <row r="121" spans="1:40" x14ac:dyDescent="0.35">
      <c r="A121">
        <v>3891</v>
      </c>
      <c r="B121">
        <v>3752</v>
      </c>
      <c r="C121" t="s">
        <v>298</v>
      </c>
      <c r="E121">
        <v>8</v>
      </c>
      <c r="F121">
        <v>19</v>
      </c>
      <c r="I121" t="s">
        <v>21</v>
      </c>
      <c r="J121">
        <v>1</v>
      </c>
      <c r="K121" t="s">
        <v>21</v>
      </c>
      <c r="L121" t="s">
        <v>21</v>
      </c>
      <c r="M121" t="s">
        <v>32</v>
      </c>
      <c r="N121">
        <v>1</v>
      </c>
      <c r="O121">
        <v>-1</v>
      </c>
      <c r="P121" t="s">
        <v>21</v>
      </c>
      <c r="Q121" t="s">
        <v>21</v>
      </c>
      <c r="R121">
        <v>3</v>
      </c>
      <c r="S121">
        <v>5048</v>
      </c>
      <c r="T121">
        <v>1</v>
      </c>
      <c r="U121" t="s">
        <v>298</v>
      </c>
      <c r="Y121" t="s">
        <v>32</v>
      </c>
      <c r="AA121">
        <v>4444</v>
      </c>
      <c r="AB121" s="2">
        <v>45967.778090277781</v>
      </c>
      <c r="AC121" s="2">
        <v>45967.778090277781</v>
      </c>
      <c r="AD121" t="s">
        <v>135</v>
      </c>
      <c r="AE121">
        <v>0</v>
      </c>
      <c r="AF121" t="s">
        <v>21</v>
      </c>
      <c r="AG121">
        <v>0</v>
      </c>
      <c r="AK121">
        <v>0</v>
      </c>
      <c r="AN121" t="s">
        <v>299</v>
      </c>
    </row>
    <row r="122" spans="1:40" x14ac:dyDescent="0.35">
      <c r="A122">
        <v>3759</v>
      </c>
      <c r="B122">
        <v>3758</v>
      </c>
      <c r="C122" t="s">
        <v>134</v>
      </c>
      <c r="E122">
        <v>6</v>
      </c>
      <c r="F122">
        <v>19</v>
      </c>
      <c r="I122" t="s">
        <v>32</v>
      </c>
      <c r="J122">
        <v>1</v>
      </c>
      <c r="K122" t="s">
        <v>32</v>
      </c>
      <c r="L122" t="s">
        <v>32</v>
      </c>
      <c r="M122" t="s">
        <v>21</v>
      </c>
      <c r="N122">
        <v>1</v>
      </c>
      <c r="O122">
        <v>-1</v>
      </c>
      <c r="P122" t="s">
        <v>21</v>
      </c>
      <c r="Q122" t="s">
        <v>21</v>
      </c>
      <c r="R122">
        <v>1</v>
      </c>
      <c r="S122">
        <v>4720</v>
      </c>
      <c r="T122">
        <v>3</v>
      </c>
      <c r="Y122" t="s">
        <v>32</v>
      </c>
      <c r="AA122">
        <v>3760</v>
      </c>
      <c r="AB122" s="2">
        <v>45967.778090277781</v>
      </c>
      <c r="AC122" s="2">
        <v>45967.778090277781</v>
      </c>
      <c r="AD122" t="s">
        <v>135</v>
      </c>
      <c r="AE122">
        <v>0</v>
      </c>
      <c r="AF122" t="s">
        <v>21</v>
      </c>
      <c r="AG122">
        <v>0</v>
      </c>
      <c r="AK122">
        <v>0</v>
      </c>
    </row>
    <row r="123" spans="1:40" x14ac:dyDescent="0.35">
      <c r="A123">
        <v>3892</v>
      </c>
      <c r="B123">
        <v>3758</v>
      </c>
      <c r="C123" t="s">
        <v>300</v>
      </c>
      <c r="E123">
        <v>6</v>
      </c>
      <c r="F123">
        <v>19</v>
      </c>
      <c r="I123" t="s">
        <v>21</v>
      </c>
      <c r="J123">
        <v>1</v>
      </c>
      <c r="K123" t="s">
        <v>21</v>
      </c>
      <c r="L123" t="s">
        <v>21</v>
      </c>
      <c r="M123" t="s">
        <v>32</v>
      </c>
      <c r="N123">
        <v>1</v>
      </c>
      <c r="O123">
        <v>-1</v>
      </c>
      <c r="P123" t="s">
        <v>21</v>
      </c>
      <c r="Q123" t="s">
        <v>21</v>
      </c>
      <c r="R123">
        <v>3</v>
      </c>
      <c r="S123">
        <v>5052</v>
      </c>
      <c r="T123">
        <v>1</v>
      </c>
      <c r="U123" t="s">
        <v>300</v>
      </c>
      <c r="X123">
        <v>0</v>
      </c>
      <c r="Y123" t="s">
        <v>32</v>
      </c>
      <c r="AA123">
        <v>4445</v>
      </c>
      <c r="AB123" s="2">
        <v>45967.778090277781</v>
      </c>
      <c r="AC123" s="2">
        <v>45967.778090277781</v>
      </c>
      <c r="AD123" t="s">
        <v>135</v>
      </c>
      <c r="AE123">
        <v>0</v>
      </c>
      <c r="AF123" t="s">
        <v>21</v>
      </c>
      <c r="AG123">
        <v>0</v>
      </c>
      <c r="AK123">
        <v>0</v>
      </c>
      <c r="AN123" t="s">
        <v>301</v>
      </c>
    </row>
    <row r="124" spans="1:40" x14ac:dyDescent="0.35">
      <c r="A124">
        <v>3893</v>
      </c>
      <c r="B124">
        <v>3758</v>
      </c>
      <c r="C124" t="s">
        <v>302</v>
      </c>
      <c r="E124">
        <v>2</v>
      </c>
      <c r="F124">
        <v>19</v>
      </c>
      <c r="I124" t="s">
        <v>21</v>
      </c>
      <c r="J124">
        <v>1</v>
      </c>
      <c r="K124" t="s">
        <v>21</v>
      </c>
      <c r="L124" t="s">
        <v>21</v>
      </c>
      <c r="M124" t="s">
        <v>32</v>
      </c>
      <c r="N124">
        <v>1</v>
      </c>
      <c r="O124">
        <v>-1</v>
      </c>
      <c r="P124" t="s">
        <v>21</v>
      </c>
      <c r="Q124" t="s">
        <v>21</v>
      </c>
      <c r="R124">
        <v>2</v>
      </c>
      <c r="S124">
        <v>5056</v>
      </c>
      <c r="T124">
        <v>1</v>
      </c>
      <c r="U124" t="s">
        <v>302</v>
      </c>
      <c r="Y124" t="s">
        <v>32</v>
      </c>
      <c r="AA124">
        <v>4446</v>
      </c>
      <c r="AB124" s="2">
        <v>45967.778090277781</v>
      </c>
      <c r="AC124" s="2">
        <v>45967.778090277781</v>
      </c>
      <c r="AD124" t="s">
        <v>135</v>
      </c>
      <c r="AE124">
        <v>0</v>
      </c>
      <c r="AF124" t="s">
        <v>21</v>
      </c>
      <c r="AG124">
        <v>0</v>
      </c>
      <c r="AK124">
        <v>0</v>
      </c>
      <c r="AN124" t="s">
        <v>303</v>
      </c>
    </row>
    <row r="125" spans="1:40" x14ac:dyDescent="0.35">
      <c r="A125">
        <v>3894</v>
      </c>
      <c r="B125">
        <v>3758</v>
      </c>
      <c r="C125" t="s">
        <v>304</v>
      </c>
      <c r="E125">
        <v>8</v>
      </c>
      <c r="F125">
        <v>19</v>
      </c>
      <c r="I125" t="s">
        <v>21</v>
      </c>
      <c r="J125">
        <v>1</v>
      </c>
      <c r="K125" t="s">
        <v>21</v>
      </c>
      <c r="L125" t="s">
        <v>21</v>
      </c>
      <c r="M125" t="s">
        <v>32</v>
      </c>
      <c r="N125">
        <v>1</v>
      </c>
      <c r="O125">
        <v>-1</v>
      </c>
      <c r="P125" t="s">
        <v>21</v>
      </c>
      <c r="Q125" t="s">
        <v>21</v>
      </c>
      <c r="R125">
        <v>3</v>
      </c>
      <c r="S125">
        <v>5060</v>
      </c>
      <c r="T125">
        <v>1</v>
      </c>
      <c r="U125" t="s">
        <v>304</v>
      </c>
      <c r="Y125" t="s">
        <v>32</v>
      </c>
      <c r="AA125">
        <v>4447</v>
      </c>
      <c r="AB125" s="2">
        <v>45967.778090277781</v>
      </c>
      <c r="AC125" s="2">
        <v>45967.778090277781</v>
      </c>
      <c r="AD125" t="s">
        <v>135</v>
      </c>
      <c r="AE125">
        <v>0</v>
      </c>
      <c r="AF125" t="s">
        <v>21</v>
      </c>
      <c r="AG125">
        <v>0</v>
      </c>
      <c r="AK125">
        <v>0</v>
      </c>
      <c r="AN125" t="s">
        <v>305</v>
      </c>
    </row>
    <row r="126" spans="1:40" x14ac:dyDescent="0.35">
      <c r="A126">
        <v>3895</v>
      </c>
      <c r="B126">
        <v>3758</v>
      </c>
      <c r="C126" t="s">
        <v>306</v>
      </c>
      <c r="E126">
        <v>9</v>
      </c>
      <c r="F126">
        <v>19</v>
      </c>
      <c r="I126" t="s">
        <v>21</v>
      </c>
      <c r="J126">
        <v>1</v>
      </c>
      <c r="K126" t="s">
        <v>21</v>
      </c>
      <c r="L126" t="s">
        <v>21</v>
      </c>
      <c r="M126" t="s">
        <v>32</v>
      </c>
      <c r="N126">
        <v>1</v>
      </c>
      <c r="O126">
        <v>-1</v>
      </c>
      <c r="P126" t="s">
        <v>21</v>
      </c>
      <c r="Q126" t="s">
        <v>21</v>
      </c>
      <c r="R126">
        <v>2</v>
      </c>
      <c r="S126">
        <v>5064</v>
      </c>
      <c r="T126">
        <v>1</v>
      </c>
      <c r="U126" t="s">
        <v>306</v>
      </c>
      <c r="X126" t="s">
        <v>160</v>
      </c>
      <c r="Y126" t="s">
        <v>32</v>
      </c>
      <c r="AA126">
        <v>4448</v>
      </c>
      <c r="AB126" s="2">
        <v>45967.778090277781</v>
      </c>
      <c r="AC126" s="2">
        <v>45967.799618055556</v>
      </c>
      <c r="AD126" t="s">
        <v>135</v>
      </c>
      <c r="AE126">
        <v>0</v>
      </c>
      <c r="AF126" t="s">
        <v>21</v>
      </c>
      <c r="AG126">
        <v>0</v>
      </c>
      <c r="AK126">
        <v>0</v>
      </c>
      <c r="AN126" t="s">
        <v>307</v>
      </c>
    </row>
    <row r="127" spans="1:40" x14ac:dyDescent="0.35">
      <c r="A127">
        <v>3903</v>
      </c>
      <c r="B127">
        <v>3758</v>
      </c>
      <c r="C127" t="s">
        <v>308</v>
      </c>
      <c r="E127">
        <v>8</v>
      </c>
      <c r="F127">
        <v>19</v>
      </c>
      <c r="I127" t="s">
        <v>21</v>
      </c>
      <c r="J127">
        <v>1</v>
      </c>
      <c r="K127" t="s">
        <v>21</v>
      </c>
      <c r="L127" t="s">
        <v>21</v>
      </c>
      <c r="M127" t="s">
        <v>32</v>
      </c>
      <c r="N127">
        <v>1</v>
      </c>
      <c r="O127">
        <v>-1</v>
      </c>
      <c r="P127" t="s">
        <v>21</v>
      </c>
      <c r="Q127" t="s">
        <v>21</v>
      </c>
      <c r="R127">
        <v>3</v>
      </c>
      <c r="S127">
        <v>5096</v>
      </c>
      <c r="T127">
        <v>1</v>
      </c>
      <c r="U127" t="s">
        <v>308</v>
      </c>
      <c r="Y127" t="s">
        <v>32</v>
      </c>
      <c r="AA127">
        <v>4456</v>
      </c>
      <c r="AB127" s="2">
        <v>45967.778090277781</v>
      </c>
      <c r="AC127" s="2">
        <v>45967.778090277781</v>
      </c>
      <c r="AD127" t="s">
        <v>135</v>
      </c>
      <c r="AE127">
        <v>0</v>
      </c>
      <c r="AF127" t="s">
        <v>21</v>
      </c>
      <c r="AG127">
        <v>0</v>
      </c>
      <c r="AK127">
        <v>0</v>
      </c>
      <c r="AN127" t="s">
        <v>309</v>
      </c>
    </row>
    <row r="128" spans="1:40" x14ac:dyDescent="0.35">
      <c r="A128">
        <v>3904</v>
      </c>
      <c r="B128">
        <v>3758</v>
      </c>
      <c r="C128" t="s">
        <v>310</v>
      </c>
      <c r="E128">
        <v>6</v>
      </c>
      <c r="F128">
        <v>19</v>
      </c>
      <c r="I128" t="s">
        <v>21</v>
      </c>
      <c r="J128">
        <v>1</v>
      </c>
      <c r="K128" t="s">
        <v>21</v>
      </c>
      <c r="L128" t="s">
        <v>21</v>
      </c>
      <c r="M128" t="s">
        <v>32</v>
      </c>
      <c r="N128">
        <v>1</v>
      </c>
      <c r="O128">
        <v>-1</v>
      </c>
      <c r="P128" t="s">
        <v>21</v>
      </c>
      <c r="Q128" t="s">
        <v>21</v>
      </c>
      <c r="R128">
        <v>3</v>
      </c>
      <c r="S128">
        <v>5100</v>
      </c>
      <c r="T128">
        <v>1</v>
      </c>
      <c r="U128" t="s">
        <v>310</v>
      </c>
      <c r="X128">
        <v>0</v>
      </c>
      <c r="Y128" t="s">
        <v>32</v>
      </c>
      <c r="AA128">
        <v>4457</v>
      </c>
      <c r="AB128" s="2">
        <v>45967.778090277781</v>
      </c>
      <c r="AC128" s="2">
        <v>45967.778090277781</v>
      </c>
      <c r="AD128" t="s">
        <v>135</v>
      </c>
      <c r="AE128">
        <v>0</v>
      </c>
      <c r="AF128" t="s">
        <v>21</v>
      </c>
      <c r="AG128">
        <v>0</v>
      </c>
      <c r="AK128">
        <v>0</v>
      </c>
      <c r="AN128" t="s">
        <v>311</v>
      </c>
    </row>
    <row r="129" spans="1:40" x14ac:dyDescent="0.35">
      <c r="A129">
        <v>3765</v>
      </c>
      <c r="B129">
        <v>3764</v>
      </c>
      <c r="C129" t="s">
        <v>134</v>
      </c>
      <c r="E129">
        <v>6</v>
      </c>
      <c r="F129">
        <v>19</v>
      </c>
      <c r="I129" t="s">
        <v>32</v>
      </c>
      <c r="J129">
        <v>1</v>
      </c>
      <c r="K129" t="s">
        <v>32</v>
      </c>
      <c r="L129" t="s">
        <v>32</v>
      </c>
      <c r="M129" t="s">
        <v>21</v>
      </c>
      <c r="N129">
        <v>1</v>
      </c>
      <c r="O129">
        <v>-1</v>
      </c>
      <c r="P129" t="s">
        <v>21</v>
      </c>
      <c r="Q129" t="s">
        <v>21</v>
      </c>
      <c r="R129">
        <v>1</v>
      </c>
      <c r="S129">
        <v>4728</v>
      </c>
      <c r="T129">
        <v>3</v>
      </c>
      <c r="Y129" t="s">
        <v>32</v>
      </c>
      <c r="AA129">
        <v>3766</v>
      </c>
      <c r="AB129" s="2">
        <v>45967.778090277781</v>
      </c>
      <c r="AC129" s="2">
        <v>45967.778090277781</v>
      </c>
      <c r="AD129" t="s">
        <v>135</v>
      </c>
      <c r="AE129">
        <v>0</v>
      </c>
      <c r="AF129" t="s">
        <v>21</v>
      </c>
      <c r="AG129">
        <v>0</v>
      </c>
      <c r="AK129">
        <v>0</v>
      </c>
    </row>
    <row r="130" spans="1:40" x14ac:dyDescent="0.35">
      <c r="A130">
        <v>3905</v>
      </c>
      <c r="B130">
        <v>3764</v>
      </c>
      <c r="C130" t="s">
        <v>312</v>
      </c>
      <c r="E130">
        <v>6</v>
      </c>
      <c r="F130">
        <v>19</v>
      </c>
      <c r="I130" t="s">
        <v>21</v>
      </c>
      <c r="J130">
        <v>1</v>
      </c>
      <c r="K130" t="s">
        <v>21</v>
      </c>
      <c r="L130" t="s">
        <v>21</v>
      </c>
      <c r="M130" t="s">
        <v>32</v>
      </c>
      <c r="N130">
        <v>1</v>
      </c>
      <c r="O130">
        <v>-1</v>
      </c>
      <c r="P130" t="s">
        <v>21</v>
      </c>
      <c r="Q130" t="s">
        <v>21</v>
      </c>
      <c r="R130">
        <v>2</v>
      </c>
      <c r="S130">
        <v>5104</v>
      </c>
      <c r="T130">
        <v>1</v>
      </c>
      <c r="U130" t="s">
        <v>312</v>
      </c>
      <c r="X130">
        <v>0</v>
      </c>
      <c r="Y130" t="s">
        <v>32</v>
      </c>
      <c r="AA130">
        <v>4458</v>
      </c>
      <c r="AB130" s="2">
        <v>45967.873611111114</v>
      </c>
      <c r="AC130" s="2">
        <v>45967.778090277781</v>
      </c>
      <c r="AD130" t="s">
        <v>135</v>
      </c>
      <c r="AE130">
        <v>0</v>
      </c>
      <c r="AF130" t="s">
        <v>21</v>
      </c>
      <c r="AG130">
        <v>0</v>
      </c>
      <c r="AK130">
        <v>0</v>
      </c>
      <c r="AN130" t="s">
        <v>313</v>
      </c>
    </row>
    <row r="131" spans="1:40" x14ac:dyDescent="0.35">
      <c r="A131">
        <v>3906</v>
      </c>
      <c r="B131">
        <v>3764</v>
      </c>
      <c r="C131" t="s">
        <v>314</v>
      </c>
      <c r="E131">
        <v>9</v>
      </c>
      <c r="F131">
        <v>19</v>
      </c>
      <c r="I131" t="s">
        <v>21</v>
      </c>
      <c r="J131">
        <v>1</v>
      </c>
      <c r="K131" t="s">
        <v>21</v>
      </c>
      <c r="L131" t="s">
        <v>21</v>
      </c>
      <c r="M131" t="s">
        <v>32</v>
      </c>
      <c r="N131">
        <v>1</v>
      </c>
      <c r="O131">
        <v>-1</v>
      </c>
      <c r="P131" t="s">
        <v>21</v>
      </c>
      <c r="Q131" t="s">
        <v>21</v>
      </c>
      <c r="R131">
        <v>2</v>
      </c>
      <c r="S131">
        <v>5108</v>
      </c>
      <c r="T131">
        <v>1</v>
      </c>
      <c r="U131" t="s">
        <v>314</v>
      </c>
      <c r="X131" t="s">
        <v>160</v>
      </c>
      <c r="Y131" t="s">
        <v>32</v>
      </c>
      <c r="AA131">
        <v>4459</v>
      </c>
      <c r="AB131" s="2">
        <v>45967.778090277781</v>
      </c>
      <c r="AC131" s="2">
        <v>45967.778090277781</v>
      </c>
      <c r="AD131" t="s">
        <v>135</v>
      </c>
      <c r="AE131">
        <v>0</v>
      </c>
      <c r="AF131" t="s">
        <v>21</v>
      </c>
      <c r="AG131">
        <v>0</v>
      </c>
      <c r="AK131">
        <v>0</v>
      </c>
      <c r="AN131" t="s">
        <v>315</v>
      </c>
    </row>
    <row r="132" spans="1:40" x14ac:dyDescent="0.35">
      <c r="A132">
        <v>3914</v>
      </c>
      <c r="B132">
        <v>3764</v>
      </c>
      <c r="C132" t="s">
        <v>316</v>
      </c>
      <c r="E132">
        <v>9</v>
      </c>
      <c r="F132">
        <v>19</v>
      </c>
      <c r="I132" t="s">
        <v>21</v>
      </c>
      <c r="J132">
        <v>1</v>
      </c>
      <c r="K132" t="s">
        <v>21</v>
      </c>
      <c r="L132" t="s">
        <v>21</v>
      </c>
      <c r="M132" t="s">
        <v>32</v>
      </c>
      <c r="N132">
        <v>1</v>
      </c>
      <c r="O132">
        <v>-1</v>
      </c>
      <c r="P132" t="s">
        <v>21</v>
      </c>
      <c r="Q132" t="s">
        <v>21</v>
      </c>
      <c r="R132">
        <v>2</v>
      </c>
      <c r="S132">
        <v>5140</v>
      </c>
      <c r="T132">
        <v>1</v>
      </c>
      <c r="U132" t="s">
        <v>316</v>
      </c>
      <c r="X132" t="s">
        <v>160</v>
      </c>
      <c r="Y132" t="s">
        <v>32</v>
      </c>
      <c r="AA132">
        <v>4467</v>
      </c>
      <c r="AB132" s="2">
        <v>45967.778090277781</v>
      </c>
      <c r="AC132" s="2">
        <v>45967.778090277781</v>
      </c>
      <c r="AD132" t="s">
        <v>135</v>
      </c>
      <c r="AE132">
        <v>0</v>
      </c>
      <c r="AF132" t="s">
        <v>21</v>
      </c>
      <c r="AG132">
        <v>0</v>
      </c>
      <c r="AK132">
        <v>0</v>
      </c>
      <c r="AN132" t="s">
        <v>317</v>
      </c>
    </row>
    <row r="133" spans="1:40" x14ac:dyDescent="0.35">
      <c r="A133">
        <v>3922</v>
      </c>
      <c r="B133">
        <v>3764</v>
      </c>
      <c r="C133" t="s">
        <v>241</v>
      </c>
      <c r="E133">
        <v>2</v>
      </c>
      <c r="F133">
        <v>19</v>
      </c>
      <c r="I133" t="s">
        <v>21</v>
      </c>
      <c r="J133">
        <v>1</v>
      </c>
      <c r="K133" t="s">
        <v>21</v>
      </c>
      <c r="L133" t="s">
        <v>21</v>
      </c>
      <c r="M133" t="s">
        <v>32</v>
      </c>
      <c r="N133">
        <v>1</v>
      </c>
      <c r="O133">
        <v>-1</v>
      </c>
      <c r="P133" t="s">
        <v>21</v>
      </c>
      <c r="Q133" t="s">
        <v>21</v>
      </c>
      <c r="R133">
        <v>2</v>
      </c>
      <c r="S133">
        <v>5172</v>
      </c>
      <c r="T133">
        <v>1</v>
      </c>
      <c r="U133" t="s">
        <v>241</v>
      </c>
      <c r="Y133" t="s">
        <v>32</v>
      </c>
      <c r="AA133">
        <v>4475</v>
      </c>
      <c r="AB133" s="2">
        <v>45967.778090277781</v>
      </c>
      <c r="AC133" s="2">
        <v>45967.778090277781</v>
      </c>
      <c r="AD133" t="s">
        <v>135</v>
      </c>
      <c r="AE133">
        <v>0</v>
      </c>
      <c r="AF133" t="s">
        <v>21</v>
      </c>
      <c r="AG133">
        <v>0</v>
      </c>
      <c r="AK133">
        <v>0</v>
      </c>
      <c r="AN133" t="s">
        <v>318</v>
      </c>
    </row>
    <row r="134" spans="1:40" x14ac:dyDescent="0.35">
      <c r="A134">
        <v>3923</v>
      </c>
      <c r="B134">
        <v>3764</v>
      </c>
      <c r="C134" t="s">
        <v>157</v>
      </c>
      <c r="E134">
        <v>2</v>
      </c>
      <c r="F134">
        <v>19</v>
      </c>
      <c r="I134" t="s">
        <v>21</v>
      </c>
      <c r="J134">
        <v>1</v>
      </c>
      <c r="K134" t="s">
        <v>21</v>
      </c>
      <c r="L134" t="s">
        <v>21</v>
      </c>
      <c r="M134" t="s">
        <v>32</v>
      </c>
      <c r="N134">
        <v>1</v>
      </c>
      <c r="O134">
        <v>-1</v>
      </c>
      <c r="P134" t="s">
        <v>21</v>
      </c>
      <c r="Q134" t="s">
        <v>21</v>
      </c>
      <c r="R134">
        <v>2</v>
      </c>
      <c r="S134">
        <v>5176</v>
      </c>
      <c r="T134">
        <v>1</v>
      </c>
      <c r="U134" t="s">
        <v>157</v>
      </c>
      <c r="Y134" t="s">
        <v>32</v>
      </c>
      <c r="AA134">
        <v>4476</v>
      </c>
      <c r="AB134" s="2">
        <v>45967.778090277781</v>
      </c>
      <c r="AC134" s="2">
        <v>45967.778090277781</v>
      </c>
      <c r="AD134" t="s">
        <v>135</v>
      </c>
      <c r="AE134">
        <v>0</v>
      </c>
      <c r="AF134" t="s">
        <v>21</v>
      </c>
      <c r="AG134">
        <v>0</v>
      </c>
      <c r="AK134">
        <v>0</v>
      </c>
      <c r="AN134" t="s">
        <v>319</v>
      </c>
    </row>
    <row r="135" spans="1:40" x14ac:dyDescent="0.35">
      <c r="A135">
        <v>3924</v>
      </c>
      <c r="B135">
        <v>3764</v>
      </c>
      <c r="C135" t="s">
        <v>320</v>
      </c>
      <c r="E135">
        <v>8</v>
      </c>
      <c r="F135">
        <v>19</v>
      </c>
      <c r="I135" t="s">
        <v>21</v>
      </c>
      <c r="J135">
        <v>1</v>
      </c>
      <c r="K135" t="s">
        <v>21</v>
      </c>
      <c r="L135" t="s">
        <v>21</v>
      </c>
      <c r="M135" t="s">
        <v>32</v>
      </c>
      <c r="N135">
        <v>1</v>
      </c>
      <c r="O135">
        <v>-1</v>
      </c>
      <c r="P135" t="s">
        <v>21</v>
      </c>
      <c r="Q135" t="s">
        <v>21</v>
      </c>
      <c r="R135">
        <v>3</v>
      </c>
      <c r="S135">
        <v>5180</v>
      </c>
      <c r="T135">
        <v>1</v>
      </c>
      <c r="U135" t="s">
        <v>320</v>
      </c>
      <c r="Y135" t="s">
        <v>32</v>
      </c>
      <c r="AA135">
        <v>4477</v>
      </c>
      <c r="AB135" s="2">
        <v>45967.778090277781</v>
      </c>
      <c r="AC135" s="2">
        <v>45967.778090277781</v>
      </c>
      <c r="AD135" t="s">
        <v>135</v>
      </c>
      <c r="AE135">
        <v>0</v>
      </c>
      <c r="AF135" t="s">
        <v>21</v>
      </c>
      <c r="AG135">
        <v>0</v>
      </c>
      <c r="AK135">
        <v>0</v>
      </c>
      <c r="AN135" t="s">
        <v>321</v>
      </c>
    </row>
    <row r="136" spans="1:40" x14ac:dyDescent="0.35">
      <c r="A136">
        <v>3925</v>
      </c>
      <c r="B136">
        <v>3764</v>
      </c>
      <c r="C136" t="s">
        <v>143</v>
      </c>
      <c r="E136">
        <v>2</v>
      </c>
      <c r="F136">
        <v>19</v>
      </c>
      <c r="I136" t="s">
        <v>21</v>
      </c>
      <c r="J136">
        <v>1</v>
      </c>
      <c r="K136" t="s">
        <v>21</v>
      </c>
      <c r="L136" t="s">
        <v>21</v>
      </c>
      <c r="M136" t="s">
        <v>32</v>
      </c>
      <c r="N136">
        <v>1</v>
      </c>
      <c r="O136">
        <v>-1</v>
      </c>
      <c r="P136" t="s">
        <v>21</v>
      </c>
      <c r="Q136" t="s">
        <v>21</v>
      </c>
      <c r="R136">
        <v>2</v>
      </c>
      <c r="S136">
        <v>5184</v>
      </c>
      <c r="T136">
        <v>1</v>
      </c>
      <c r="U136" t="s">
        <v>143</v>
      </c>
      <c r="Y136" t="s">
        <v>32</v>
      </c>
      <c r="AA136">
        <v>4478</v>
      </c>
      <c r="AB136" s="2">
        <v>45967.778090277781</v>
      </c>
      <c r="AC136" s="2">
        <v>45967.778090277781</v>
      </c>
      <c r="AD136" t="s">
        <v>135</v>
      </c>
      <c r="AE136">
        <v>0</v>
      </c>
      <c r="AF136" t="s">
        <v>21</v>
      </c>
      <c r="AG136">
        <v>0</v>
      </c>
      <c r="AK136">
        <v>0</v>
      </c>
      <c r="AN136" t="s">
        <v>322</v>
      </c>
    </row>
    <row r="137" spans="1:40" x14ac:dyDescent="0.35">
      <c r="A137">
        <v>3926</v>
      </c>
      <c r="B137">
        <v>3764</v>
      </c>
      <c r="C137" t="s">
        <v>147</v>
      </c>
      <c r="E137">
        <v>6</v>
      </c>
      <c r="F137">
        <v>19</v>
      </c>
      <c r="I137" t="s">
        <v>21</v>
      </c>
      <c r="J137">
        <v>1</v>
      </c>
      <c r="K137" t="s">
        <v>21</v>
      </c>
      <c r="L137" t="s">
        <v>21</v>
      </c>
      <c r="M137" t="s">
        <v>32</v>
      </c>
      <c r="N137">
        <v>1</v>
      </c>
      <c r="O137">
        <v>-1</v>
      </c>
      <c r="P137" t="s">
        <v>21</v>
      </c>
      <c r="Q137" t="s">
        <v>21</v>
      </c>
      <c r="R137">
        <v>3</v>
      </c>
      <c r="S137">
        <v>5188</v>
      </c>
      <c r="T137">
        <v>1</v>
      </c>
      <c r="U137" t="s">
        <v>147</v>
      </c>
      <c r="X137">
        <v>0</v>
      </c>
      <c r="Y137" t="s">
        <v>32</v>
      </c>
      <c r="AA137">
        <v>4479</v>
      </c>
      <c r="AB137" s="2">
        <v>45967.778090277781</v>
      </c>
      <c r="AC137" s="2">
        <v>45967.778090277781</v>
      </c>
      <c r="AD137" t="s">
        <v>135</v>
      </c>
      <c r="AE137">
        <v>0</v>
      </c>
      <c r="AF137" t="s">
        <v>21</v>
      </c>
      <c r="AG137">
        <v>0</v>
      </c>
      <c r="AK137">
        <v>0</v>
      </c>
      <c r="AN137" t="s">
        <v>323</v>
      </c>
    </row>
    <row r="138" spans="1:40" x14ac:dyDescent="0.35">
      <c r="A138">
        <v>3927</v>
      </c>
      <c r="B138">
        <v>3764</v>
      </c>
      <c r="C138" t="s">
        <v>324</v>
      </c>
      <c r="E138">
        <v>6</v>
      </c>
      <c r="F138">
        <v>19</v>
      </c>
      <c r="I138" t="s">
        <v>21</v>
      </c>
      <c r="J138">
        <v>1</v>
      </c>
      <c r="K138" t="s">
        <v>21</v>
      </c>
      <c r="L138" t="s">
        <v>21</v>
      </c>
      <c r="M138" t="s">
        <v>32</v>
      </c>
      <c r="N138">
        <v>1</v>
      </c>
      <c r="O138">
        <v>-1</v>
      </c>
      <c r="P138" t="s">
        <v>21</v>
      </c>
      <c r="Q138" t="s">
        <v>21</v>
      </c>
      <c r="R138">
        <v>3</v>
      </c>
      <c r="S138">
        <v>5192</v>
      </c>
      <c r="T138">
        <v>1</v>
      </c>
      <c r="U138" t="s">
        <v>324</v>
      </c>
      <c r="X138">
        <v>0</v>
      </c>
      <c r="Y138" t="s">
        <v>32</v>
      </c>
      <c r="AA138">
        <v>4480</v>
      </c>
      <c r="AB138" s="2">
        <v>45967.778090277781</v>
      </c>
      <c r="AC138" s="2">
        <v>45967.778090277781</v>
      </c>
      <c r="AD138" t="s">
        <v>135</v>
      </c>
      <c r="AE138">
        <v>0</v>
      </c>
      <c r="AF138" t="s">
        <v>21</v>
      </c>
      <c r="AG138">
        <v>0</v>
      </c>
      <c r="AK138">
        <v>0</v>
      </c>
      <c r="AN138" t="s">
        <v>325</v>
      </c>
    </row>
    <row r="139" spans="1:40" x14ac:dyDescent="0.35">
      <c r="A139">
        <v>3768</v>
      </c>
      <c r="B139">
        <v>3767</v>
      </c>
      <c r="C139" t="s">
        <v>134</v>
      </c>
      <c r="E139">
        <v>6</v>
      </c>
      <c r="F139">
        <v>19</v>
      </c>
      <c r="I139" t="s">
        <v>32</v>
      </c>
      <c r="J139">
        <v>1</v>
      </c>
      <c r="K139" t="s">
        <v>32</v>
      </c>
      <c r="L139" t="s">
        <v>32</v>
      </c>
      <c r="M139" t="s">
        <v>21</v>
      </c>
      <c r="N139">
        <v>1</v>
      </c>
      <c r="O139">
        <v>-1</v>
      </c>
      <c r="P139" t="s">
        <v>21</v>
      </c>
      <c r="Q139" t="s">
        <v>21</v>
      </c>
      <c r="R139">
        <v>1</v>
      </c>
      <c r="S139">
        <v>4732</v>
      </c>
      <c r="T139">
        <v>3</v>
      </c>
      <c r="Y139" t="s">
        <v>32</v>
      </c>
      <c r="AA139">
        <v>3769</v>
      </c>
      <c r="AB139" s="2">
        <v>45967.778090277781</v>
      </c>
      <c r="AC139" s="2">
        <v>45967.778090277781</v>
      </c>
      <c r="AD139" t="s">
        <v>135</v>
      </c>
      <c r="AE139">
        <v>2</v>
      </c>
      <c r="AF139" t="s">
        <v>21</v>
      </c>
      <c r="AG139">
        <v>0</v>
      </c>
      <c r="AK139">
        <v>0</v>
      </c>
    </row>
    <row r="140" spans="1:40" x14ac:dyDescent="0.35">
      <c r="A140">
        <v>3907</v>
      </c>
      <c r="B140">
        <v>3767</v>
      </c>
      <c r="D140" t="s">
        <v>166</v>
      </c>
      <c r="E140">
        <v>9</v>
      </c>
      <c r="F140">
        <v>9</v>
      </c>
      <c r="G140" t="s">
        <v>167</v>
      </c>
      <c r="I140" t="s">
        <v>32</v>
      </c>
      <c r="J140">
        <v>1</v>
      </c>
      <c r="K140" t="s">
        <v>21</v>
      </c>
      <c r="L140" t="s">
        <v>21</v>
      </c>
      <c r="M140" t="s">
        <v>32</v>
      </c>
      <c r="N140">
        <v>1</v>
      </c>
      <c r="O140">
        <v>-1</v>
      </c>
      <c r="P140" t="s">
        <v>21</v>
      </c>
      <c r="Q140" t="s">
        <v>21</v>
      </c>
      <c r="R140">
        <v>2</v>
      </c>
      <c r="S140">
        <v>5112</v>
      </c>
      <c r="T140">
        <v>4</v>
      </c>
      <c r="U140" t="s">
        <v>168</v>
      </c>
      <c r="X140" t="s">
        <v>169</v>
      </c>
      <c r="Y140" t="s">
        <v>32</v>
      </c>
      <c r="AA140">
        <v>4460</v>
      </c>
      <c r="AB140" s="2">
        <v>45967.778113425928</v>
      </c>
      <c r="AC140" s="2">
        <v>45967.778090277781</v>
      </c>
      <c r="AD140" t="s">
        <v>135</v>
      </c>
      <c r="AE140">
        <v>2</v>
      </c>
      <c r="AF140" t="s">
        <v>21</v>
      </c>
      <c r="AG140">
        <v>0</v>
      </c>
      <c r="AK140">
        <v>0</v>
      </c>
      <c r="AN140" t="s">
        <v>326</v>
      </c>
    </row>
    <row r="141" spans="1:40" x14ac:dyDescent="0.35">
      <c r="A141">
        <v>3908</v>
      </c>
      <c r="B141">
        <v>3767</v>
      </c>
      <c r="C141" t="s">
        <v>171</v>
      </c>
      <c r="E141">
        <v>6</v>
      </c>
      <c r="F141">
        <v>6</v>
      </c>
      <c r="G141" t="s">
        <v>172</v>
      </c>
      <c r="I141" t="s">
        <v>32</v>
      </c>
      <c r="J141">
        <v>1</v>
      </c>
      <c r="K141" t="s">
        <v>21</v>
      </c>
      <c r="L141" t="s">
        <v>21</v>
      </c>
      <c r="M141" t="s">
        <v>32</v>
      </c>
      <c r="N141">
        <v>1</v>
      </c>
      <c r="O141">
        <v>-1</v>
      </c>
      <c r="P141" t="s">
        <v>21</v>
      </c>
      <c r="Q141" t="s">
        <v>21</v>
      </c>
      <c r="R141">
        <v>2</v>
      </c>
      <c r="S141">
        <v>5116</v>
      </c>
      <c r="T141">
        <v>2</v>
      </c>
      <c r="W141" t="s">
        <v>173</v>
      </c>
      <c r="X141">
        <v>0</v>
      </c>
      <c r="Y141" t="s">
        <v>32</v>
      </c>
      <c r="AA141">
        <v>4461</v>
      </c>
      <c r="AB141" s="2">
        <v>45967.778113425928</v>
      </c>
      <c r="AC141" s="2">
        <v>45967.778090277781</v>
      </c>
      <c r="AD141" s="2">
        <v>45967.778113425928</v>
      </c>
      <c r="AE141">
        <v>2</v>
      </c>
      <c r="AF141" t="s">
        <v>21</v>
      </c>
      <c r="AG141">
        <v>0</v>
      </c>
      <c r="AK141">
        <v>0</v>
      </c>
      <c r="AN141" t="s">
        <v>327</v>
      </c>
    </row>
    <row r="142" spans="1:40" x14ac:dyDescent="0.35">
      <c r="A142">
        <v>3909</v>
      </c>
      <c r="B142">
        <v>3767</v>
      </c>
      <c r="C142" t="s">
        <v>175</v>
      </c>
      <c r="E142">
        <v>6</v>
      </c>
      <c r="F142">
        <v>6</v>
      </c>
      <c r="G142" t="s">
        <v>176</v>
      </c>
      <c r="I142" t="s">
        <v>32</v>
      </c>
      <c r="J142">
        <v>1</v>
      </c>
      <c r="K142" t="s">
        <v>21</v>
      </c>
      <c r="L142" t="s">
        <v>21</v>
      </c>
      <c r="M142" t="s">
        <v>32</v>
      </c>
      <c r="N142">
        <v>1</v>
      </c>
      <c r="O142">
        <v>-1</v>
      </c>
      <c r="P142" t="s">
        <v>21</v>
      </c>
      <c r="Q142" t="s">
        <v>21</v>
      </c>
      <c r="R142">
        <v>2</v>
      </c>
      <c r="S142">
        <v>5120</v>
      </c>
      <c r="T142">
        <v>2</v>
      </c>
      <c r="W142" t="s">
        <v>177</v>
      </c>
      <c r="X142">
        <v>0</v>
      </c>
      <c r="Y142" t="s">
        <v>32</v>
      </c>
      <c r="AA142">
        <v>4462</v>
      </c>
      <c r="AB142" s="2">
        <v>45967.778113425928</v>
      </c>
      <c r="AC142" s="2">
        <v>45967.778090277781</v>
      </c>
      <c r="AD142" s="2">
        <v>45967.778113425928</v>
      </c>
      <c r="AE142">
        <v>2</v>
      </c>
      <c r="AF142" t="s">
        <v>21</v>
      </c>
      <c r="AG142">
        <v>0</v>
      </c>
      <c r="AK142">
        <v>0</v>
      </c>
      <c r="AN142" t="s">
        <v>328</v>
      </c>
    </row>
    <row r="143" spans="1:40" x14ac:dyDescent="0.35">
      <c r="A143">
        <v>3910</v>
      </c>
      <c r="B143">
        <v>3767</v>
      </c>
      <c r="C143" t="s">
        <v>179</v>
      </c>
      <c r="E143">
        <v>2</v>
      </c>
      <c r="F143">
        <v>2</v>
      </c>
      <c r="G143" t="s">
        <v>180</v>
      </c>
      <c r="I143" t="s">
        <v>32</v>
      </c>
      <c r="J143">
        <v>1</v>
      </c>
      <c r="K143" t="s">
        <v>21</v>
      </c>
      <c r="L143" t="s">
        <v>21</v>
      </c>
      <c r="M143" t="s">
        <v>32</v>
      </c>
      <c r="N143">
        <v>1</v>
      </c>
      <c r="O143">
        <v>-1</v>
      </c>
      <c r="P143" t="s">
        <v>21</v>
      </c>
      <c r="Q143" t="s">
        <v>21</v>
      </c>
      <c r="R143">
        <v>2</v>
      </c>
      <c r="S143">
        <v>5124</v>
      </c>
      <c r="T143">
        <v>2</v>
      </c>
      <c r="W143" t="s">
        <v>181</v>
      </c>
      <c r="Y143" t="s">
        <v>32</v>
      </c>
      <c r="Z143">
        <v>3909</v>
      </c>
      <c r="AA143">
        <v>4463</v>
      </c>
      <c r="AB143" s="2">
        <v>45967.778113425928</v>
      </c>
      <c r="AC143" s="2">
        <v>45967.778090277781</v>
      </c>
      <c r="AD143" s="2">
        <v>45967.778113425928</v>
      </c>
      <c r="AE143">
        <v>2</v>
      </c>
      <c r="AF143" t="s">
        <v>21</v>
      </c>
      <c r="AG143">
        <v>0</v>
      </c>
      <c r="AK143">
        <v>0</v>
      </c>
      <c r="AN143" t="s">
        <v>329</v>
      </c>
    </row>
    <row r="144" spans="1:40" x14ac:dyDescent="0.35">
      <c r="A144">
        <v>3911</v>
      </c>
      <c r="B144">
        <v>3767</v>
      </c>
      <c r="C144" t="s">
        <v>183</v>
      </c>
      <c r="E144">
        <v>6</v>
      </c>
      <c r="F144">
        <v>6</v>
      </c>
      <c r="G144" t="s">
        <v>184</v>
      </c>
      <c r="I144" t="s">
        <v>32</v>
      </c>
      <c r="J144">
        <v>1</v>
      </c>
      <c r="K144" t="s">
        <v>21</v>
      </c>
      <c r="L144" t="s">
        <v>21</v>
      </c>
      <c r="M144" t="s">
        <v>32</v>
      </c>
      <c r="N144">
        <v>1</v>
      </c>
      <c r="O144">
        <v>-1</v>
      </c>
      <c r="P144" t="s">
        <v>21</v>
      </c>
      <c r="Q144" t="s">
        <v>21</v>
      </c>
      <c r="R144">
        <v>2</v>
      </c>
      <c r="S144">
        <v>5128</v>
      </c>
      <c r="T144">
        <v>2</v>
      </c>
      <c r="W144" t="s">
        <v>185</v>
      </c>
      <c r="X144">
        <v>0</v>
      </c>
      <c r="Y144" t="s">
        <v>32</v>
      </c>
      <c r="AA144">
        <v>4464</v>
      </c>
      <c r="AB144" s="2">
        <v>45967.778113425928</v>
      </c>
      <c r="AC144" s="2">
        <v>45967.778090277781</v>
      </c>
      <c r="AD144" s="2">
        <v>45967.778113425928</v>
      </c>
      <c r="AE144">
        <v>2</v>
      </c>
      <c r="AF144" t="s">
        <v>21</v>
      </c>
      <c r="AG144">
        <v>0</v>
      </c>
      <c r="AK144">
        <v>0</v>
      </c>
      <c r="AN144" t="s">
        <v>330</v>
      </c>
    </row>
    <row r="145" spans="1:40" x14ac:dyDescent="0.35">
      <c r="A145">
        <v>3912</v>
      </c>
      <c r="B145">
        <v>3767</v>
      </c>
      <c r="C145" t="s">
        <v>187</v>
      </c>
      <c r="E145">
        <v>2</v>
      </c>
      <c r="F145">
        <v>2</v>
      </c>
      <c r="G145" t="s">
        <v>188</v>
      </c>
      <c r="I145" t="s">
        <v>32</v>
      </c>
      <c r="J145">
        <v>1</v>
      </c>
      <c r="K145" t="s">
        <v>21</v>
      </c>
      <c r="L145" t="s">
        <v>21</v>
      </c>
      <c r="M145" t="s">
        <v>32</v>
      </c>
      <c r="N145">
        <v>1</v>
      </c>
      <c r="O145">
        <v>-1</v>
      </c>
      <c r="P145" t="s">
        <v>21</v>
      </c>
      <c r="Q145" t="s">
        <v>21</v>
      </c>
      <c r="R145">
        <v>2</v>
      </c>
      <c r="S145">
        <v>5132</v>
      </c>
      <c r="T145">
        <v>2</v>
      </c>
      <c r="W145" t="s">
        <v>189</v>
      </c>
      <c r="Y145" t="s">
        <v>32</v>
      </c>
      <c r="Z145">
        <v>3911</v>
      </c>
      <c r="AA145">
        <v>4465</v>
      </c>
      <c r="AB145" s="2">
        <v>45967.778113425928</v>
      </c>
      <c r="AC145" s="2">
        <v>45967.778090277781</v>
      </c>
      <c r="AD145" s="2">
        <v>45967.778113425928</v>
      </c>
      <c r="AE145">
        <v>2</v>
      </c>
      <c r="AF145" t="s">
        <v>21</v>
      </c>
      <c r="AG145">
        <v>0</v>
      </c>
      <c r="AK145">
        <v>0</v>
      </c>
      <c r="AN145" t="s">
        <v>331</v>
      </c>
    </row>
    <row r="146" spans="1:40" x14ac:dyDescent="0.35">
      <c r="A146">
        <v>3913</v>
      </c>
      <c r="B146">
        <v>3767</v>
      </c>
      <c r="C146" t="s">
        <v>191</v>
      </c>
      <c r="E146">
        <v>6</v>
      </c>
      <c r="F146">
        <v>6</v>
      </c>
      <c r="G146" t="s">
        <v>192</v>
      </c>
      <c r="I146" t="s">
        <v>32</v>
      </c>
      <c r="J146">
        <v>1</v>
      </c>
      <c r="K146" t="s">
        <v>21</v>
      </c>
      <c r="L146" t="s">
        <v>21</v>
      </c>
      <c r="M146" t="s">
        <v>32</v>
      </c>
      <c r="N146">
        <v>1</v>
      </c>
      <c r="O146">
        <v>-1</v>
      </c>
      <c r="P146" t="s">
        <v>21</v>
      </c>
      <c r="Q146" t="s">
        <v>21</v>
      </c>
      <c r="R146">
        <v>2</v>
      </c>
      <c r="S146">
        <v>5136</v>
      </c>
      <c r="T146">
        <v>2</v>
      </c>
      <c r="W146" t="s">
        <v>193</v>
      </c>
      <c r="X146">
        <v>0</v>
      </c>
      <c r="Y146" t="s">
        <v>32</v>
      </c>
      <c r="AA146">
        <v>4466</v>
      </c>
      <c r="AB146" s="2">
        <v>45967.778113425928</v>
      </c>
      <c r="AC146" s="2">
        <v>45967.778090277781</v>
      </c>
      <c r="AD146" s="2">
        <v>45967.778113425928</v>
      </c>
      <c r="AE146">
        <v>2</v>
      </c>
      <c r="AF146" t="s">
        <v>21</v>
      </c>
      <c r="AG146">
        <v>0</v>
      </c>
      <c r="AK146">
        <v>0</v>
      </c>
      <c r="AN146" t="s">
        <v>332</v>
      </c>
    </row>
    <row r="147" spans="1:40" x14ac:dyDescent="0.35">
      <c r="A147">
        <v>3771</v>
      </c>
      <c r="B147">
        <v>3770</v>
      </c>
      <c r="C147" t="s">
        <v>134</v>
      </c>
      <c r="E147">
        <v>6</v>
      </c>
      <c r="F147">
        <v>19</v>
      </c>
      <c r="I147" t="s">
        <v>32</v>
      </c>
      <c r="J147">
        <v>1</v>
      </c>
      <c r="K147" t="s">
        <v>32</v>
      </c>
      <c r="L147" t="s">
        <v>32</v>
      </c>
      <c r="M147" t="s">
        <v>21</v>
      </c>
      <c r="N147">
        <v>1</v>
      </c>
      <c r="O147">
        <v>-1</v>
      </c>
      <c r="P147" t="s">
        <v>21</v>
      </c>
      <c r="Q147" t="s">
        <v>21</v>
      </c>
      <c r="R147">
        <v>1</v>
      </c>
      <c r="S147">
        <v>4736</v>
      </c>
      <c r="T147">
        <v>3</v>
      </c>
      <c r="Y147" t="s">
        <v>32</v>
      </c>
      <c r="AA147">
        <v>3772</v>
      </c>
      <c r="AB147" s="2">
        <v>45967.778090277781</v>
      </c>
      <c r="AC147" s="2">
        <v>45967.778090277781</v>
      </c>
      <c r="AD147" t="s">
        <v>135</v>
      </c>
      <c r="AE147">
        <v>2</v>
      </c>
      <c r="AF147" t="s">
        <v>21</v>
      </c>
      <c r="AG147">
        <v>0</v>
      </c>
      <c r="AK147">
        <v>0</v>
      </c>
    </row>
    <row r="148" spans="1:40" x14ac:dyDescent="0.35">
      <c r="A148">
        <v>3915</v>
      </c>
      <c r="B148">
        <v>3770</v>
      </c>
      <c r="D148" t="s">
        <v>166</v>
      </c>
      <c r="E148">
        <v>9</v>
      </c>
      <c r="F148">
        <v>9</v>
      </c>
      <c r="G148" t="s">
        <v>167</v>
      </c>
      <c r="I148" t="s">
        <v>32</v>
      </c>
      <c r="J148">
        <v>1</v>
      </c>
      <c r="K148" t="s">
        <v>21</v>
      </c>
      <c r="L148" t="s">
        <v>21</v>
      </c>
      <c r="M148" t="s">
        <v>32</v>
      </c>
      <c r="N148">
        <v>1</v>
      </c>
      <c r="O148">
        <v>-1</v>
      </c>
      <c r="P148" t="s">
        <v>21</v>
      </c>
      <c r="Q148" t="s">
        <v>21</v>
      </c>
      <c r="R148">
        <v>2</v>
      </c>
      <c r="S148">
        <v>5144</v>
      </c>
      <c r="T148">
        <v>4</v>
      </c>
      <c r="U148" t="s">
        <v>168</v>
      </c>
      <c r="X148" t="s">
        <v>169</v>
      </c>
      <c r="Y148" t="s">
        <v>32</v>
      </c>
      <c r="AA148">
        <v>4468</v>
      </c>
      <c r="AB148" s="2">
        <v>45967.778113425928</v>
      </c>
      <c r="AC148" s="2">
        <v>45967.778090277781</v>
      </c>
      <c r="AD148" t="s">
        <v>135</v>
      </c>
      <c r="AE148">
        <v>2</v>
      </c>
      <c r="AF148" t="s">
        <v>21</v>
      </c>
      <c r="AG148">
        <v>0</v>
      </c>
      <c r="AK148">
        <v>0</v>
      </c>
      <c r="AN148" t="s">
        <v>333</v>
      </c>
    </row>
    <row r="149" spans="1:40" x14ac:dyDescent="0.35">
      <c r="A149">
        <v>3916</v>
      </c>
      <c r="B149">
        <v>3770</v>
      </c>
      <c r="C149" t="s">
        <v>171</v>
      </c>
      <c r="E149">
        <v>6</v>
      </c>
      <c r="F149">
        <v>6</v>
      </c>
      <c r="G149" t="s">
        <v>172</v>
      </c>
      <c r="I149" t="s">
        <v>32</v>
      </c>
      <c r="J149">
        <v>1</v>
      </c>
      <c r="K149" t="s">
        <v>21</v>
      </c>
      <c r="L149" t="s">
        <v>21</v>
      </c>
      <c r="M149" t="s">
        <v>32</v>
      </c>
      <c r="N149">
        <v>1</v>
      </c>
      <c r="O149">
        <v>-1</v>
      </c>
      <c r="P149" t="s">
        <v>21</v>
      </c>
      <c r="Q149" t="s">
        <v>21</v>
      </c>
      <c r="R149">
        <v>2</v>
      </c>
      <c r="S149">
        <v>5148</v>
      </c>
      <c r="T149">
        <v>2</v>
      </c>
      <c r="W149" t="s">
        <v>173</v>
      </c>
      <c r="X149">
        <v>0</v>
      </c>
      <c r="Y149" t="s">
        <v>32</v>
      </c>
      <c r="AA149">
        <v>4469</v>
      </c>
      <c r="AB149" s="2">
        <v>45967.778113425928</v>
      </c>
      <c r="AC149" s="2">
        <v>45967.778090277781</v>
      </c>
      <c r="AD149" s="2">
        <v>45967.778113425928</v>
      </c>
      <c r="AE149">
        <v>2</v>
      </c>
      <c r="AF149" t="s">
        <v>21</v>
      </c>
      <c r="AG149">
        <v>0</v>
      </c>
      <c r="AK149">
        <v>0</v>
      </c>
      <c r="AN149" t="s">
        <v>334</v>
      </c>
    </row>
    <row r="150" spans="1:40" x14ac:dyDescent="0.35">
      <c r="A150">
        <v>3917</v>
      </c>
      <c r="B150">
        <v>3770</v>
      </c>
      <c r="C150" t="s">
        <v>175</v>
      </c>
      <c r="E150">
        <v>6</v>
      </c>
      <c r="F150">
        <v>6</v>
      </c>
      <c r="G150" t="s">
        <v>176</v>
      </c>
      <c r="I150" t="s">
        <v>32</v>
      </c>
      <c r="J150">
        <v>1</v>
      </c>
      <c r="K150" t="s">
        <v>21</v>
      </c>
      <c r="L150" t="s">
        <v>21</v>
      </c>
      <c r="M150" t="s">
        <v>32</v>
      </c>
      <c r="N150">
        <v>1</v>
      </c>
      <c r="O150">
        <v>-1</v>
      </c>
      <c r="P150" t="s">
        <v>21</v>
      </c>
      <c r="Q150" t="s">
        <v>21</v>
      </c>
      <c r="R150">
        <v>2</v>
      </c>
      <c r="S150">
        <v>5152</v>
      </c>
      <c r="T150">
        <v>2</v>
      </c>
      <c r="W150" t="s">
        <v>177</v>
      </c>
      <c r="X150">
        <v>0</v>
      </c>
      <c r="Y150" t="s">
        <v>32</v>
      </c>
      <c r="AA150">
        <v>4470</v>
      </c>
      <c r="AB150" s="2">
        <v>45967.778113425928</v>
      </c>
      <c r="AC150" s="2">
        <v>45967.778090277781</v>
      </c>
      <c r="AD150" s="2">
        <v>45967.778113425928</v>
      </c>
      <c r="AE150">
        <v>2</v>
      </c>
      <c r="AF150" t="s">
        <v>21</v>
      </c>
      <c r="AG150">
        <v>0</v>
      </c>
      <c r="AK150">
        <v>0</v>
      </c>
      <c r="AN150" t="s">
        <v>335</v>
      </c>
    </row>
    <row r="151" spans="1:40" x14ac:dyDescent="0.35">
      <c r="A151">
        <v>3918</v>
      </c>
      <c r="B151">
        <v>3770</v>
      </c>
      <c r="C151" t="s">
        <v>179</v>
      </c>
      <c r="E151">
        <v>2</v>
      </c>
      <c r="F151">
        <v>2</v>
      </c>
      <c r="G151" t="s">
        <v>180</v>
      </c>
      <c r="I151" t="s">
        <v>32</v>
      </c>
      <c r="J151">
        <v>1</v>
      </c>
      <c r="K151" t="s">
        <v>21</v>
      </c>
      <c r="L151" t="s">
        <v>21</v>
      </c>
      <c r="M151" t="s">
        <v>32</v>
      </c>
      <c r="N151">
        <v>1</v>
      </c>
      <c r="O151">
        <v>-1</v>
      </c>
      <c r="P151" t="s">
        <v>21</v>
      </c>
      <c r="Q151" t="s">
        <v>21</v>
      </c>
      <c r="R151">
        <v>2</v>
      </c>
      <c r="S151">
        <v>5156</v>
      </c>
      <c r="T151">
        <v>2</v>
      </c>
      <c r="W151" t="s">
        <v>181</v>
      </c>
      <c r="Y151" t="s">
        <v>32</v>
      </c>
      <c r="Z151">
        <v>3917</v>
      </c>
      <c r="AA151">
        <v>4471</v>
      </c>
      <c r="AB151" s="2">
        <v>45967.778113425928</v>
      </c>
      <c r="AC151" s="2">
        <v>45967.778090277781</v>
      </c>
      <c r="AD151" s="2">
        <v>45967.778113425928</v>
      </c>
      <c r="AE151">
        <v>2</v>
      </c>
      <c r="AF151" t="s">
        <v>21</v>
      </c>
      <c r="AG151">
        <v>0</v>
      </c>
      <c r="AK151">
        <v>0</v>
      </c>
      <c r="AN151" t="s">
        <v>336</v>
      </c>
    </row>
    <row r="152" spans="1:40" x14ac:dyDescent="0.35">
      <c r="A152">
        <v>3919</v>
      </c>
      <c r="B152">
        <v>3770</v>
      </c>
      <c r="C152" t="s">
        <v>183</v>
      </c>
      <c r="E152">
        <v>6</v>
      </c>
      <c r="F152">
        <v>6</v>
      </c>
      <c r="G152" t="s">
        <v>184</v>
      </c>
      <c r="I152" t="s">
        <v>32</v>
      </c>
      <c r="J152">
        <v>1</v>
      </c>
      <c r="K152" t="s">
        <v>21</v>
      </c>
      <c r="L152" t="s">
        <v>21</v>
      </c>
      <c r="M152" t="s">
        <v>32</v>
      </c>
      <c r="N152">
        <v>1</v>
      </c>
      <c r="O152">
        <v>-1</v>
      </c>
      <c r="P152" t="s">
        <v>21</v>
      </c>
      <c r="Q152" t="s">
        <v>21</v>
      </c>
      <c r="R152">
        <v>2</v>
      </c>
      <c r="S152">
        <v>5160</v>
      </c>
      <c r="T152">
        <v>2</v>
      </c>
      <c r="W152" t="s">
        <v>185</v>
      </c>
      <c r="X152">
        <v>0</v>
      </c>
      <c r="Y152" t="s">
        <v>32</v>
      </c>
      <c r="AA152">
        <v>4472</v>
      </c>
      <c r="AB152" s="2">
        <v>45967.778113425928</v>
      </c>
      <c r="AC152" s="2">
        <v>45967.778090277781</v>
      </c>
      <c r="AD152" s="2">
        <v>45967.778113425928</v>
      </c>
      <c r="AE152">
        <v>2</v>
      </c>
      <c r="AF152" t="s">
        <v>21</v>
      </c>
      <c r="AG152">
        <v>0</v>
      </c>
      <c r="AK152">
        <v>0</v>
      </c>
      <c r="AN152" t="s">
        <v>337</v>
      </c>
    </row>
    <row r="153" spans="1:40" x14ac:dyDescent="0.35">
      <c r="A153">
        <v>3920</v>
      </c>
      <c r="B153">
        <v>3770</v>
      </c>
      <c r="C153" t="s">
        <v>187</v>
      </c>
      <c r="E153">
        <v>2</v>
      </c>
      <c r="F153">
        <v>2</v>
      </c>
      <c r="G153" t="s">
        <v>188</v>
      </c>
      <c r="I153" t="s">
        <v>32</v>
      </c>
      <c r="J153">
        <v>1</v>
      </c>
      <c r="K153" t="s">
        <v>21</v>
      </c>
      <c r="L153" t="s">
        <v>21</v>
      </c>
      <c r="M153" t="s">
        <v>32</v>
      </c>
      <c r="N153">
        <v>1</v>
      </c>
      <c r="O153">
        <v>-1</v>
      </c>
      <c r="P153" t="s">
        <v>21</v>
      </c>
      <c r="Q153" t="s">
        <v>21</v>
      </c>
      <c r="R153">
        <v>2</v>
      </c>
      <c r="S153">
        <v>5164</v>
      </c>
      <c r="T153">
        <v>2</v>
      </c>
      <c r="W153" t="s">
        <v>189</v>
      </c>
      <c r="Y153" t="s">
        <v>32</v>
      </c>
      <c r="Z153">
        <v>3919</v>
      </c>
      <c r="AA153">
        <v>4473</v>
      </c>
      <c r="AB153" s="2">
        <v>45967.778113425928</v>
      </c>
      <c r="AC153" s="2">
        <v>45967.778090277781</v>
      </c>
      <c r="AD153" s="2">
        <v>45967.778113425928</v>
      </c>
      <c r="AE153">
        <v>2</v>
      </c>
      <c r="AF153" t="s">
        <v>21</v>
      </c>
      <c r="AG153">
        <v>0</v>
      </c>
      <c r="AK153">
        <v>0</v>
      </c>
      <c r="AN153" t="s">
        <v>338</v>
      </c>
    </row>
    <row r="154" spans="1:40" x14ac:dyDescent="0.35">
      <c r="A154">
        <v>3921</v>
      </c>
      <c r="B154">
        <v>3770</v>
      </c>
      <c r="C154" t="s">
        <v>191</v>
      </c>
      <c r="E154">
        <v>6</v>
      </c>
      <c r="F154">
        <v>6</v>
      </c>
      <c r="G154" t="s">
        <v>192</v>
      </c>
      <c r="I154" t="s">
        <v>32</v>
      </c>
      <c r="J154">
        <v>1</v>
      </c>
      <c r="K154" t="s">
        <v>21</v>
      </c>
      <c r="L154" t="s">
        <v>21</v>
      </c>
      <c r="M154" t="s">
        <v>32</v>
      </c>
      <c r="N154">
        <v>1</v>
      </c>
      <c r="O154">
        <v>-1</v>
      </c>
      <c r="P154" t="s">
        <v>21</v>
      </c>
      <c r="Q154" t="s">
        <v>21</v>
      </c>
      <c r="R154">
        <v>2</v>
      </c>
      <c r="S154">
        <v>5168</v>
      </c>
      <c r="T154">
        <v>2</v>
      </c>
      <c r="W154" t="s">
        <v>193</v>
      </c>
      <c r="X154">
        <v>0</v>
      </c>
      <c r="Y154" t="s">
        <v>32</v>
      </c>
      <c r="AA154">
        <v>4474</v>
      </c>
      <c r="AB154" s="2">
        <v>45967.778113425928</v>
      </c>
      <c r="AC154" s="2">
        <v>45967.778090277781</v>
      </c>
      <c r="AD154" s="2">
        <v>45967.778113425928</v>
      </c>
      <c r="AE154">
        <v>2</v>
      </c>
      <c r="AF154" t="s">
        <v>21</v>
      </c>
      <c r="AG154">
        <v>0</v>
      </c>
      <c r="AK154">
        <v>0</v>
      </c>
      <c r="AN154" t="s">
        <v>339</v>
      </c>
    </row>
    <row r="155" spans="1:40" x14ac:dyDescent="0.35">
      <c r="A155">
        <v>3774</v>
      </c>
      <c r="B155">
        <v>3773</v>
      </c>
      <c r="C155" t="s">
        <v>134</v>
      </c>
      <c r="E155">
        <v>6</v>
      </c>
      <c r="F155">
        <v>19</v>
      </c>
      <c r="I155" t="s">
        <v>32</v>
      </c>
      <c r="J155">
        <v>1</v>
      </c>
      <c r="K155" t="s">
        <v>32</v>
      </c>
      <c r="L155" t="s">
        <v>32</v>
      </c>
      <c r="M155" t="s">
        <v>21</v>
      </c>
      <c r="N155">
        <v>1</v>
      </c>
      <c r="O155">
        <v>-1</v>
      </c>
      <c r="P155" t="s">
        <v>21</v>
      </c>
      <c r="Q155" t="s">
        <v>21</v>
      </c>
      <c r="R155">
        <v>1</v>
      </c>
      <c r="S155">
        <v>4740</v>
      </c>
      <c r="T155">
        <v>3</v>
      </c>
      <c r="Y155" t="s">
        <v>32</v>
      </c>
      <c r="AA155">
        <v>3775</v>
      </c>
      <c r="AB155" s="2">
        <v>45967.778090277781</v>
      </c>
      <c r="AC155" s="2">
        <v>45967.778090277781</v>
      </c>
      <c r="AD155" t="s">
        <v>135</v>
      </c>
      <c r="AE155">
        <v>0</v>
      </c>
      <c r="AF155" t="s">
        <v>21</v>
      </c>
      <c r="AG155">
        <v>0</v>
      </c>
      <c r="AK155">
        <v>0</v>
      </c>
    </row>
    <row r="156" spans="1:40" x14ac:dyDescent="0.35">
      <c r="A156">
        <v>3928</v>
      </c>
      <c r="B156">
        <v>3773</v>
      </c>
      <c r="C156" t="s">
        <v>289</v>
      </c>
      <c r="E156">
        <v>2</v>
      </c>
      <c r="F156">
        <v>19</v>
      </c>
      <c r="I156" t="s">
        <v>21</v>
      </c>
      <c r="J156">
        <v>1</v>
      </c>
      <c r="K156" t="s">
        <v>21</v>
      </c>
      <c r="L156" t="s">
        <v>21</v>
      </c>
      <c r="M156" t="s">
        <v>32</v>
      </c>
      <c r="N156">
        <v>1</v>
      </c>
      <c r="O156">
        <v>-1</v>
      </c>
      <c r="P156" t="s">
        <v>21</v>
      </c>
      <c r="Q156" t="s">
        <v>21</v>
      </c>
      <c r="R156">
        <v>2</v>
      </c>
      <c r="S156">
        <v>5196</v>
      </c>
      <c r="T156">
        <v>1</v>
      </c>
      <c r="U156" t="s">
        <v>289</v>
      </c>
      <c r="Y156" t="s">
        <v>32</v>
      </c>
      <c r="AA156">
        <v>4481</v>
      </c>
      <c r="AB156" s="2">
        <v>45967.778090277781</v>
      </c>
      <c r="AC156" s="2">
        <v>45967.778090277781</v>
      </c>
      <c r="AD156" t="s">
        <v>135</v>
      </c>
      <c r="AE156">
        <v>0</v>
      </c>
      <c r="AF156" t="s">
        <v>21</v>
      </c>
      <c r="AG156">
        <v>0</v>
      </c>
      <c r="AK156">
        <v>0</v>
      </c>
      <c r="AN156" t="s">
        <v>340</v>
      </c>
    </row>
    <row r="157" spans="1:40" x14ac:dyDescent="0.35">
      <c r="A157">
        <v>3929</v>
      </c>
      <c r="B157">
        <v>3773</v>
      </c>
      <c r="C157" t="s">
        <v>291</v>
      </c>
      <c r="E157">
        <v>2</v>
      </c>
      <c r="F157">
        <v>19</v>
      </c>
      <c r="I157" t="s">
        <v>21</v>
      </c>
      <c r="J157">
        <v>1</v>
      </c>
      <c r="K157" t="s">
        <v>21</v>
      </c>
      <c r="L157" t="s">
        <v>21</v>
      </c>
      <c r="M157" t="s">
        <v>32</v>
      </c>
      <c r="N157">
        <v>1</v>
      </c>
      <c r="O157">
        <v>-1</v>
      </c>
      <c r="P157" t="s">
        <v>21</v>
      </c>
      <c r="Q157" t="s">
        <v>21</v>
      </c>
      <c r="R157">
        <v>2</v>
      </c>
      <c r="S157">
        <v>5200</v>
      </c>
      <c r="T157">
        <v>1</v>
      </c>
      <c r="U157" t="s">
        <v>291</v>
      </c>
      <c r="Y157" t="s">
        <v>32</v>
      </c>
      <c r="AA157">
        <v>4482</v>
      </c>
      <c r="AB157" s="2">
        <v>45967.778090277781</v>
      </c>
      <c r="AC157" s="2">
        <v>45967.778090277781</v>
      </c>
      <c r="AD157" t="s">
        <v>135</v>
      </c>
      <c r="AE157">
        <v>0</v>
      </c>
      <c r="AF157" t="s">
        <v>21</v>
      </c>
      <c r="AG157">
        <v>0</v>
      </c>
      <c r="AK157">
        <v>0</v>
      </c>
      <c r="AN157" t="s">
        <v>341</v>
      </c>
    </row>
    <row r="158" spans="1:40" x14ac:dyDescent="0.35">
      <c r="A158">
        <v>3777</v>
      </c>
      <c r="B158">
        <v>3776</v>
      </c>
      <c r="C158" t="s">
        <v>134</v>
      </c>
      <c r="E158">
        <v>6</v>
      </c>
      <c r="F158">
        <v>19</v>
      </c>
      <c r="I158" t="s">
        <v>32</v>
      </c>
      <c r="J158">
        <v>1</v>
      </c>
      <c r="K158" t="s">
        <v>32</v>
      </c>
      <c r="L158" t="s">
        <v>32</v>
      </c>
      <c r="M158" t="s">
        <v>21</v>
      </c>
      <c r="N158">
        <v>1</v>
      </c>
      <c r="O158">
        <v>-1</v>
      </c>
      <c r="P158" t="s">
        <v>21</v>
      </c>
      <c r="Q158" t="s">
        <v>21</v>
      </c>
      <c r="R158">
        <v>1</v>
      </c>
      <c r="S158">
        <v>4744</v>
      </c>
      <c r="T158">
        <v>3</v>
      </c>
      <c r="Y158" t="s">
        <v>32</v>
      </c>
      <c r="AA158">
        <v>3778</v>
      </c>
      <c r="AB158" s="2">
        <v>45967.778090277781</v>
      </c>
      <c r="AC158" s="2">
        <v>45967.778090277781</v>
      </c>
      <c r="AD158" t="s">
        <v>135</v>
      </c>
      <c r="AE158">
        <v>0</v>
      </c>
      <c r="AF158" t="s">
        <v>21</v>
      </c>
      <c r="AG158">
        <v>0</v>
      </c>
      <c r="AK158">
        <v>0</v>
      </c>
    </row>
    <row r="159" spans="1:40" x14ac:dyDescent="0.35">
      <c r="A159">
        <v>3930</v>
      </c>
      <c r="B159">
        <v>3776</v>
      </c>
      <c r="C159" t="s">
        <v>241</v>
      </c>
      <c r="E159">
        <v>2</v>
      </c>
      <c r="F159">
        <v>19</v>
      </c>
      <c r="I159" t="s">
        <v>21</v>
      </c>
      <c r="J159">
        <v>1</v>
      </c>
      <c r="K159" t="s">
        <v>21</v>
      </c>
      <c r="L159" t="s">
        <v>21</v>
      </c>
      <c r="M159" t="s">
        <v>32</v>
      </c>
      <c r="N159">
        <v>1</v>
      </c>
      <c r="O159">
        <v>-1</v>
      </c>
      <c r="P159" t="s">
        <v>21</v>
      </c>
      <c r="Q159" t="s">
        <v>21</v>
      </c>
      <c r="R159">
        <v>2</v>
      </c>
      <c r="S159">
        <v>5204</v>
      </c>
      <c r="T159">
        <v>1</v>
      </c>
      <c r="U159" t="s">
        <v>241</v>
      </c>
      <c r="Y159" t="s">
        <v>32</v>
      </c>
      <c r="AA159">
        <v>4483</v>
      </c>
      <c r="AB159" s="2">
        <v>45967.778090277781</v>
      </c>
      <c r="AC159" s="2">
        <v>45967.778090277781</v>
      </c>
      <c r="AD159" t="s">
        <v>135</v>
      </c>
      <c r="AE159">
        <v>0</v>
      </c>
      <c r="AF159" t="s">
        <v>21</v>
      </c>
      <c r="AG159">
        <v>0</v>
      </c>
      <c r="AK159">
        <v>0</v>
      </c>
      <c r="AN159" t="s">
        <v>342</v>
      </c>
    </row>
    <row r="160" spans="1:40" x14ac:dyDescent="0.35">
      <c r="A160">
        <v>3931</v>
      </c>
      <c r="B160">
        <v>3776</v>
      </c>
      <c r="C160" t="s">
        <v>138</v>
      </c>
      <c r="E160">
        <v>2</v>
      </c>
      <c r="F160">
        <v>19</v>
      </c>
      <c r="I160" t="s">
        <v>21</v>
      </c>
      <c r="J160">
        <v>1</v>
      </c>
      <c r="K160" t="s">
        <v>21</v>
      </c>
      <c r="L160" t="s">
        <v>21</v>
      </c>
      <c r="M160" t="s">
        <v>32</v>
      </c>
      <c r="N160">
        <v>1</v>
      </c>
      <c r="O160">
        <v>-1</v>
      </c>
      <c r="P160" t="s">
        <v>21</v>
      </c>
      <c r="Q160" t="s">
        <v>21</v>
      </c>
      <c r="R160">
        <v>2</v>
      </c>
      <c r="S160">
        <v>5208</v>
      </c>
      <c r="T160">
        <v>1</v>
      </c>
      <c r="U160" t="s">
        <v>138</v>
      </c>
      <c r="Y160" t="s">
        <v>32</v>
      </c>
      <c r="AA160">
        <v>4484</v>
      </c>
      <c r="AB160" s="2">
        <v>45967.778090277781</v>
      </c>
      <c r="AC160" s="2">
        <v>45967.778090277781</v>
      </c>
      <c r="AD160" t="s">
        <v>135</v>
      </c>
      <c r="AE160">
        <v>0</v>
      </c>
      <c r="AF160" t="s">
        <v>21</v>
      </c>
      <c r="AG160">
        <v>0</v>
      </c>
      <c r="AK160">
        <v>0</v>
      </c>
      <c r="AN160" t="s">
        <v>343</v>
      </c>
    </row>
    <row r="161" spans="1:40" x14ac:dyDescent="0.35">
      <c r="A161">
        <v>3780</v>
      </c>
      <c r="B161">
        <v>3779</v>
      </c>
      <c r="C161" t="s">
        <v>134</v>
      </c>
      <c r="E161">
        <v>6</v>
      </c>
      <c r="F161">
        <v>19</v>
      </c>
      <c r="I161" t="s">
        <v>32</v>
      </c>
      <c r="J161">
        <v>1</v>
      </c>
      <c r="K161" t="s">
        <v>32</v>
      </c>
      <c r="L161" t="s">
        <v>32</v>
      </c>
      <c r="M161" t="s">
        <v>21</v>
      </c>
      <c r="N161">
        <v>1</v>
      </c>
      <c r="O161">
        <v>-1</v>
      </c>
      <c r="P161" t="s">
        <v>21</v>
      </c>
      <c r="Q161" t="s">
        <v>21</v>
      </c>
      <c r="R161">
        <v>1</v>
      </c>
      <c r="S161">
        <v>4748</v>
      </c>
      <c r="T161">
        <v>3</v>
      </c>
      <c r="Y161" t="s">
        <v>32</v>
      </c>
      <c r="AA161">
        <v>3781</v>
      </c>
      <c r="AB161" s="2">
        <v>45967.778090277781</v>
      </c>
      <c r="AC161" s="2">
        <v>45967.778090277781</v>
      </c>
      <c r="AD161" t="s">
        <v>135</v>
      </c>
      <c r="AE161">
        <v>0</v>
      </c>
      <c r="AF161" t="s">
        <v>21</v>
      </c>
      <c r="AG161">
        <v>0</v>
      </c>
      <c r="AK161">
        <v>0</v>
      </c>
    </row>
    <row r="162" spans="1:40" x14ac:dyDescent="0.35">
      <c r="A162">
        <v>3932</v>
      </c>
      <c r="B162">
        <v>3779</v>
      </c>
      <c r="C162" t="s">
        <v>344</v>
      </c>
      <c r="E162">
        <v>6</v>
      </c>
      <c r="F162">
        <v>19</v>
      </c>
      <c r="I162" t="s">
        <v>21</v>
      </c>
      <c r="J162">
        <v>1</v>
      </c>
      <c r="K162" t="s">
        <v>21</v>
      </c>
      <c r="L162" t="s">
        <v>21</v>
      </c>
      <c r="M162" t="s">
        <v>32</v>
      </c>
      <c r="N162">
        <v>1</v>
      </c>
      <c r="O162">
        <v>-1</v>
      </c>
      <c r="P162" t="s">
        <v>21</v>
      </c>
      <c r="Q162" t="s">
        <v>21</v>
      </c>
      <c r="R162">
        <v>2</v>
      </c>
      <c r="S162">
        <v>5212</v>
      </c>
      <c r="T162">
        <v>1</v>
      </c>
      <c r="U162" t="s">
        <v>344</v>
      </c>
      <c r="X162">
        <v>0</v>
      </c>
      <c r="Y162" t="s">
        <v>32</v>
      </c>
      <c r="AA162">
        <v>4485</v>
      </c>
      <c r="AB162" s="2">
        <v>45968.766851851855</v>
      </c>
      <c r="AC162" s="2">
        <v>45967.778090277781</v>
      </c>
      <c r="AD162" t="s">
        <v>135</v>
      </c>
      <c r="AE162">
        <v>0</v>
      </c>
      <c r="AF162" t="s">
        <v>21</v>
      </c>
      <c r="AG162">
        <v>0</v>
      </c>
      <c r="AK162">
        <v>0</v>
      </c>
      <c r="AN162" t="s">
        <v>345</v>
      </c>
    </row>
    <row r="163" spans="1:40" x14ac:dyDescent="0.35">
      <c r="A163">
        <v>3933</v>
      </c>
      <c r="B163">
        <v>3779</v>
      </c>
      <c r="C163" t="s">
        <v>346</v>
      </c>
      <c r="E163">
        <v>2</v>
      </c>
      <c r="F163">
        <v>19</v>
      </c>
      <c r="I163" t="s">
        <v>21</v>
      </c>
      <c r="J163">
        <v>1</v>
      </c>
      <c r="K163" t="s">
        <v>21</v>
      </c>
      <c r="L163" t="s">
        <v>21</v>
      </c>
      <c r="M163" t="s">
        <v>32</v>
      </c>
      <c r="N163">
        <v>1</v>
      </c>
      <c r="O163">
        <v>-1</v>
      </c>
      <c r="P163" t="s">
        <v>21</v>
      </c>
      <c r="Q163" t="s">
        <v>21</v>
      </c>
      <c r="R163">
        <v>2</v>
      </c>
      <c r="S163">
        <v>5216</v>
      </c>
      <c r="T163">
        <v>1</v>
      </c>
      <c r="U163" t="s">
        <v>346</v>
      </c>
      <c r="Y163" t="s">
        <v>32</v>
      </c>
      <c r="AA163">
        <v>4486</v>
      </c>
      <c r="AB163" s="2">
        <v>45967.778090277781</v>
      </c>
      <c r="AC163" s="2">
        <v>45967.778090277781</v>
      </c>
      <c r="AD163" t="s">
        <v>135</v>
      </c>
      <c r="AE163">
        <v>0</v>
      </c>
      <c r="AF163" t="s">
        <v>21</v>
      </c>
      <c r="AG163">
        <v>0</v>
      </c>
      <c r="AK163">
        <v>0</v>
      </c>
      <c r="AN163" t="s">
        <v>347</v>
      </c>
    </row>
    <row r="164" spans="1:40" x14ac:dyDescent="0.35">
      <c r="A164">
        <v>3934</v>
      </c>
      <c r="B164">
        <v>3779</v>
      </c>
      <c r="C164" t="s">
        <v>348</v>
      </c>
      <c r="E164">
        <v>2</v>
      </c>
      <c r="F164">
        <v>19</v>
      </c>
      <c r="I164" t="s">
        <v>21</v>
      </c>
      <c r="J164">
        <v>1</v>
      </c>
      <c r="K164" t="s">
        <v>21</v>
      </c>
      <c r="L164" t="s">
        <v>21</v>
      </c>
      <c r="M164" t="s">
        <v>32</v>
      </c>
      <c r="N164">
        <v>1</v>
      </c>
      <c r="O164">
        <v>-1</v>
      </c>
      <c r="P164" t="s">
        <v>21</v>
      </c>
      <c r="Q164" t="s">
        <v>21</v>
      </c>
      <c r="R164">
        <v>2</v>
      </c>
      <c r="S164">
        <v>5220</v>
      </c>
      <c r="T164">
        <v>1</v>
      </c>
      <c r="U164" t="s">
        <v>348</v>
      </c>
      <c r="Y164" t="s">
        <v>32</v>
      </c>
      <c r="AA164">
        <v>4487</v>
      </c>
      <c r="AB164" s="2">
        <v>45967.778090277781</v>
      </c>
      <c r="AC164" s="2">
        <v>45967.778090277781</v>
      </c>
      <c r="AD164" t="s">
        <v>135</v>
      </c>
      <c r="AE164">
        <v>0</v>
      </c>
      <c r="AF164" t="s">
        <v>21</v>
      </c>
      <c r="AG164">
        <v>0</v>
      </c>
      <c r="AK164">
        <v>0</v>
      </c>
      <c r="AN164" t="s">
        <v>349</v>
      </c>
    </row>
    <row r="165" spans="1:40" x14ac:dyDescent="0.35">
      <c r="A165">
        <v>3935</v>
      </c>
      <c r="B165">
        <v>3779</v>
      </c>
      <c r="C165" t="s">
        <v>350</v>
      </c>
      <c r="E165">
        <v>2</v>
      </c>
      <c r="F165">
        <v>19</v>
      </c>
      <c r="I165" t="s">
        <v>21</v>
      </c>
      <c r="J165">
        <v>1</v>
      </c>
      <c r="K165" t="s">
        <v>21</v>
      </c>
      <c r="L165" t="s">
        <v>21</v>
      </c>
      <c r="M165" t="s">
        <v>32</v>
      </c>
      <c r="N165">
        <v>1</v>
      </c>
      <c r="O165">
        <v>-1</v>
      </c>
      <c r="P165" t="s">
        <v>21</v>
      </c>
      <c r="Q165" t="s">
        <v>21</v>
      </c>
      <c r="R165">
        <v>2</v>
      </c>
      <c r="S165">
        <v>5224</v>
      </c>
      <c r="T165">
        <v>1</v>
      </c>
      <c r="U165" t="s">
        <v>350</v>
      </c>
      <c r="Y165" t="s">
        <v>32</v>
      </c>
      <c r="AA165">
        <v>4488</v>
      </c>
      <c r="AB165" s="2">
        <v>45967.778090277781</v>
      </c>
      <c r="AC165" s="2">
        <v>45967.778090277781</v>
      </c>
      <c r="AD165" t="s">
        <v>135</v>
      </c>
      <c r="AE165">
        <v>0</v>
      </c>
      <c r="AF165" t="s">
        <v>21</v>
      </c>
      <c r="AG165">
        <v>0</v>
      </c>
      <c r="AK165">
        <v>0</v>
      </c>
      <c r="AN165" t="s">
        <v>351</v>
      </c>
    </row>
    <row r="166" spans="1:40" x14ac:dyDescent="0.35">
      <c r="A166">
        <v>3936</v>
      </c>
      <c r="B166">
        <v>3779</v>
      </c>
      <c r="C166" t="s">
        <v>352</v>
      </c>
      <c r="E166">
        <v>2</v>
      </c>
      <c r="F166">
        <v>19</v>
      </c>
      <c r="I166" t="s">
        <v>21</v>
      </c>
      <c r="J166">
        <v>1</v>
      </c>
      <c r="K166" t="s">
        <v>21</v>
      </c>
      <c r="L166" t="s">
        <v>21</v>
      </c>
      <c r="M166" t="s">
        <v>32</v>
      </c>
      <c r="N166">
        <v>1</v>
      </c>
      <c r="O166">
        <v>-1</v>
      </c>
      <c r="P166" t="s">
        <v>21</v>
      </c>
      <c r="Q166" t="s">
        <v>21</v>
      </c>
      <c r="R166">
        <v>2</v>
      </c>
      <c r="S166">
        <v>5228</v>
      </c>
      <c r="T166">
        <v>1</v>
      </c>
      <c r="U166" t="s">
        <v>352</v>
      </c>
      <c r="Y166" t="s">
        <v>32</v>
      </c>
      <c r="AA166">
        <v>4489</v>
      </c>
      <c r="AB166" s="2">
        <v>45967.778090277781</v>
      </c>
      <c r="AC166" s="2">
        <v>45967.778090277781</v>
      </c>
      <c r="AD166" t="s">
        <v>135</v>
      </c>
      <c r="AE166">
        <v>0</v>
      </c>
      <c r="AF166" t="s">
        <v>21</v>
      </c>
      <c r="AG166">
        <v>0</v>
      </c>
      <c r="AK166">
        <v>0</v>
      </c>
      <c r="AN166" t="s">
        <v>353</v>
      </c>
    </row>
    <row r="167" spans="1:40" x14ac:dyDescent="0.35">
      <c r="A167">
        <v>3937</v>
      </c>
      <c r="B167">
        <v>3779</v>
      </c>
      <c r="C167" t="s">
        <v>354</v>
      </c>
      <c r="E167">
        <v>2</v>
      </c>
      <c r="F167">
        <v>19</v>
      </c>
      <c r="I167" t="s">
        <v>21</v>
      </c>
      <c r="J167">
        <v>1</v>
      </c>
      <c r="K167" t="s">
        <v>21</v>
      </c>
      <c r="L167" t="s">
        <v>21</v>
      </c>
      <c r="M167" t="s">
        <v>32</v>
      </c>
      <c r="N167">
        <v>1</v>
      </c>
      <c r="O167">
        <v>-1</v>
      </c>
      <c r="P167" t="s">
        <v>21</v>
      </c>
      <c r="Q167" t="s">
        <v>21</v>
      </c>
      <c r="R167">
        <v>2</v>
      </c>
      <c r="S167">
        <v>5232</v>
      </c>
      <c r="T167">
        <v>1</v>
      </c>
      <c r="U167" t="s">
        <v>354</v>
      </c>
      <c r="Y167" t="s">
        <v>32</v>
      </c>
      <c r="AA167">
        <v>4490</v>
      </c>
      <c r="AB167" s="2">
        <v>45967.778090277781</v>
      </c>
      <c r="AC167" s="2">
        <v>45967.778090277781</v>
      </c>
      <c r="AD167" t="s">
        <v>135</v>
      </c>
      <c r="AE167">
        <v>0</v>
      </c>
      <c r="AF167" t="s">
        <v>21</v>
      </c>
      <c r="AG167">
        <v>0</v>
      </c>
      <c r="AK167">
        <v>0</v>
      </c>
      <c r="AN167" t="s">
        <v>355</v>
      </c>
    </row>
    <row r="168" spans="1:40" x14ac:dyDescent="0.35">
      <c r="A168">
        <v>3938</v>
      </c>
      <c r="B168">
        <v>3779</v>
      </c>
      <c r="C168" t="s">
        <v>356</v>
      </c>
      <c r="E168">
        <v>8</v>
      </c>
      <c r="F168">
        <v>19</v>
      </c>
      <c r="I168" t="s">
        <v>21</v>
      </c>
      <c r="J168">
        <v>1</v>
      </c>
      <c r="K168" t="s">
        <v>21</v>
      </c>
      <c r="L168" t="s">
        <v>21</v>
      </c>
      <c r="M168" t="s">
        <v>32</v>
      </c>
      <c r="N168">
        <v>1</v>
      </c>
      <c r="O168">
        <v>-1</v>
      </c>
      <c r="P168" t="s">
        <v>21</v>
      </c>
      <c r="Q168" t="s">
        <v>21</v>
      </c>
      <c r="R168">
        <v>2</v>
      </c>
      <c r="S168">
        <v>5236</v>
      </c>
      <c r="T168">
        <v>1</v>
      </c>
      <c r="U168" t="s">
        <v>356</v>
      </c>
      <c r="Y168" t="s">
        <v>32</v>
      </c>
      <c r="AA168">
        <v>4491</v>
      </c>
      <c r="AB168" s="2">
        <v>45968.766851851855</v>
      </c>
      <c r="AC168" s="2">
        <v>45967.778090277781</v>
      </c>
      <c r="AD168" t="s">
        <v>135</v>
      </c>
      <c r="AE168">
        <v>0</v>
      </c>
      <c r="AF168" t="s">
        <v>21</v>
      </c>
      <c r="AG168">
        <v>0</v>
      </c>
      <c r="AK168">
        <v>0</v>
      </c>
      <c r="AN168" t="s">
        <v>357</v>
      </c>
    </row>
    <row r="169" spans="1:40" x14ac:dyDescent="0.35">
      <c r="A169">
        <v>3939</v>
      </c>
      <c r="B169">
        <v>3779</v>
      </c>
      <c r="C169" t="s">
        <v>358</v>
      </c>
      <c r="E169">
        <v>8</v>
      </c>
      <c r="F169">
        <v>19</v>
      </c>
      <c r="I169" t="s">
        <v>21</v>
      </c>
      <c r="J169">
        <v>1</v>
      </c>
      <c r="K169" t="s">
        <v>21</v>
      </c>
      <c r="L169" t="s">
        <v>21</v>
      </c>
      <c r="M169" t="s">
        <v>32</v>
      </c>
      <c r="N169">
        <v>1</v>
      </c>
      <c r="O169">
        <v>-1</v>
      </c>
      <c r="P169" t="s">
        <v>21</v>
      </c>
      <c r="Q169" t="s">
        <v>21</v>
      </c>
      <c r="R169">
        <v>2</v>
      </c>
      <c r="S169">
        <v>5240</v>
      </c>
      <c r="T169">
        <v>1</v>
      </c>
      <c r="U169" t="s">
        <v>358</v>
      </c>
      <c r="Y169" t="s">
        <v>32</v>
      </c>
      <c r="AA169">
        <v>4492</v>
      </c>
      <c r="AB169" s="2">
        <v>45968.766851851855</v>
      </c>
      <c r="AC169" s="2">
        <v>45967.778090277781</v>
      </c>
      <c r="AD169" t="s">
        <v>135</v>
      </c>
      <c r="AE169">
        <v>0</v>
      </c>
      <c r="AF169" t="s">
        <v>21</v>
      </c>
      <c r="AG169">
        <v>0</v>
      </c>
      <c r="AK169">
        <v>0</v>
      </c>
      <c r="AN169" t="s">
        <v>359</v>
      </c>
    </row>
    <row r="170" spans="1:40" x14ac:dyDescent="0.35">
      <c r="A170">
        <v>3783</v>
      </c>
      <c r="B170">
        <v>3782</v>
      </c>
      <c r="C170" t="s">
        <v>134</v>
      </c>
      <c r="E170">
        <v>6</v>
      </c>
      <c r="F170">
        <v>19</v>
      </c>
      <c r="I170" t="s">
        <v>32</v>
      </c>
      <c r="J170">
        <v>1</v>
      </c>
      <c r="K170" t="s">
        <v>32</v>
      </c>
      <c r="L170" t="s">
        <v>32</v>
      </c>
      <c r="M170" t="s">
        <v>21</v>
      </c>
      <c r="N170">
        <v>1</v>
      </c>
      <c r="O170">
        <v>-1</v>
      </c>
      <c r="P170" t="s">
        <v>21</v>
      </c>
      <c r="Q170" t="s">
        <v>21</v>
      </c>
      <c r="R170">
        <v>1</v>
      </c>
      <c r="S170">
        <v>4752</v>
      </c>
      <c r="T170">
        <v>3</v>
      </c>
      <c r="Y170" t="s">
        <v>32</v>
      </c>
      <c r="AA170">
        <v>3784</v>
      </c>
      <c r="AB170" s="2">
        <v>45967.778090277781</v>
      </c>
      <c r="AC170" s="2">
        <v>45967.778090277781</v>
      </c>
      <c r="AD170" t="s">
        <v>135</v>
      </c>
      <c r="AE170">
        <v>0</v>
      </c>
      <c r="AF170" t="s">
        <v>21</v>
      </c>
      <c r="AG170">
        <v>0</v>
      </c>
      <c r="AK170">
        <v>0</v>
      </c>
    </row>
    <row r="171" spans="1:40" x14ac:dyDescent="0.35">
      <c r="A171">
        <v>3940</v>
      </c>
      <c r="B171">
        <v>3782</v>
      </c>
      <c r="C171" t="s">
        <v>143</v>
      </c>
      <c r="E171">
        <v>2</v>
      </c>
      <c r="F171">
        <v>19</v>
      </c>
      <c r="I171" t="s">
        <v>21</v>
      </c>
      <c r="J171">
        <v>1</v>
      </c>
      <c r="K171" t="s">
        <v>21</v>
      </c>
      <c r="L171" t="s">
        <v>21</v>
      </c>
      <c r="M171" t="s">
        <v>32</v>
      </c>
      <c r="N171">
        <v>1</v>
      </c>
      <c r="O171">
        <v>-1</v>
      </c>
      <c r="P171" t="s">
        <v>21</v>
      </c>
      <c r="Q171" t="s">
        <v>21</v>
      </c>
      <c r="R171">
        <v>2</v>
      </c>
      <c r="S171">
        <v>5244</v>
      </c>
      <c r="T171">
        <v>1</v>
      </c>
      <c r="U171" t="s">
        <v>143</v>
      </c>
      <c r="Y171" t="s">
        <v>32</v>
      </c>
      <c r="AA171">
        <v>4493</v>
      </c>
      <c r="AB171" s="2">
        <v>45967.778090277781</v>
      </c>
      <c r="AC171" s="2">
        <v>45967.778090277781</v>
      </c>
      <c r="AD171" t="s">
        <v>135</v>
      </c>
      <c r="AE171">
        <v>0</v>
      </c>
      <c r="AF171" t="s">
        <v>21</v>
      </c>
      <c r="AG171">
        <v>0</v>
      </c>
      <c r="AK171">
        <v>0</v>
      </c>
      <c r="AN171" t="s">
        <v>360</v>
      </c>
    </row>
    <row r="172" spans="1:40" x14ac:dyDescent="0.35">
      <c r="A172">
        <v>3941</v>
      </c>
      <c r="B172">
        <v>3782</v>
      </c>
      <c r="C172" t="s">
        <v>361</v>
      </c>
      <c r="E172">
        <v>2</v>
      </c>
      <c r="F172">
        <v>19</v>
      </c>
      <c r="I172" t="s">
        <v>21</v>
      </c>
      <c r="J172">
        <v>1</v>
      </c>
      <c r="K172" t="s">
        <v>21</v>
      </c>
      <c r="L172" t="s">
        <v>21</v>
      </c>
      <c r="M172" t="s">
        <v>32</v>
      </c>
      <c r="N172">
        <v>1</v>
      </c>
      <c r="O172">
        <v>-1</v>
      </c>
      <c r="P172" t="s">
        <v>21</v>
      </c>
      <c r="Q172" t="s">
        <v>21</v>
      </c>
      <c r="R172">
        <v>2</v>
      </c>
      <c r="S172">
        <v>5248</v>
      </c>
      <c r="T172">
        <v>1</v>
      </c>
      <c r="U172" t="s">
        <v>361</v>
      </c>
      <c r="Y172" t="s">
        <v>32</v>
      </c>
      <c r="AA172">
        <v>4494</v>
      </c>
      <c r="AB172" s="2">
        <v>45967.778090277781</v>
      </c>
      <c r="AC172" s="2">
        <v>45967.778090277781</v>
      </c>
      <c r="AD172" t="s">
        <v>135</v>
      </c>
      <c r="AE172">
        <v>0</v>
      </c>
      <c r="AF172" t="s">
        <v>21</v>
      </c>
      <c r="AG172">
        <v>0</v>
      </c>
      <c r="AK172">
        <v>0</v>
      </c>
      <c r="AN172" t="s">
        <v>362</v>
      </c>
    </row>
    <row r="173" spans="1:40" x14ac:dyDescent="0.35">
      <c r="A173">
        <v>3942</v>
      </c>
      <c r="B173">
        <v>3782</v>
      </c>
      <c r="C173" t="s">
        <v>363</v>
      </c>
      <c r="E173">
        <v>2</v>
      </c>
      <c r="F173">
        <v>19</v>
      </c>
      <c r="I173" t="s">
        <v>21</v>
      </c>
      <c r="J173">
        <v>1</v>
      </c>
      <c r="K173" t="s">
        <v>21</v>
      </c>
      <c r="L173" t="s">
        <v>21</v>
      </c>
      <c r="M173" t="s">
        <v>32</v>
      </c>
      <c r="N173">
        <v>1</v>
      </c>
      <c r="O173">
        <v>-1</v>
      </c>
      <c r="P173" t="s">
        <v>21</v>
      </c>
      <c r="Q173" t="s">
        <v>21</v>
      </c>
      <c r="R173">
        <v>2</v>
      </c>
      <c r="S173">
        <v>5252</v>
      </c>
      <c r="T173">
        <v>1</v>
      </c>
      <c r="U173" t="s">
        <v>363</v>
      </c>
      <c r="Y173" t="s">
        <v>32</v>
      </c>
      <c r="AA173">
        <v>4495</v>
      </c>
      <c r="AB173" s="2">
        <v>45967.778090277781</v>
      </c>
      <c r="AC173" s="2">
        <v>45967.778090277781</v>
      </c>
      <c r="AD173" t="s">
        <v>135</v>
      </c>
      <c r="AE173">
        <v>0</v>
      </c>
      <c r="AF173" t="s">
        <v>21</v>
      </c>
      <c r="AG173">
        <v>0</v>
      </c>
      <c r="AK173">
        <v>0</v>
      </c>
      <c r="AN173" t="s">
        <v>364</v>
      </c>
    </row>
    <row r="174" spans="1:40" x14ac:dyDescent="0.35">
      <c r="A174">
        <v>3943</v>
      </c>
      <c r="B174">
        <v>3782</v>
      </c>
      <c r="C174" t="s">
        <v>157</v>
      </c>
      <c r="E174">
        <v>2</v>
      </c>
      <c r="F174">
        <v>19</v>
      </c>
      <c r="I174" t="s">
        <v>21</v>
      </c>
      <c r="J174">
        <v>1</v>
      </c>
      <c r="K174" t="s">
        <v>21</v>
      </c>
      <c r="L174" t="s">
        <v>21</v>
      </c>
      <c r="M174" t="s">
        <v>32</v>
      </c>
      <c r="N174">
        <v>1</v>
      </c>
      <c r="O174">
        <v>-1</v>
      </c>
      <c r="P174" t="s">
        <v>21</v>
      </c>
      <c r="Q174" t="s">
        <v>21</v>
      </c>
      <c r="R174">
        <v>2</v>
      </c>
      <c r="S174">
        <v>5256</v>
      </c>
      <c r="T174">
        <v>1</v>
      </c>
      <c r="U174" t="s">
        <v>157</v>
      </c>
      <c r="Y174" t="s">
        <v>32</v>
      </c>
      <c r="AA174">
        <v>4496</v>
      </c>
      <c r="AB174" s="2">
        <v>45967.778090277781</v>
      </c>
      <c r="AC174" s="2">
        <v>45967.778090277781</v>
      </c>
      <c r="AD174" t="s">
        <v>135</v>
      </c>
      <c r="AE174">
        <v>0</v>
      </c>
      <c r="AF174" t="s">
        <v>21</v>
      </c>
      <c r="AG174">
        <v>0</v>
      </c>
      <c r="AK174">
        <v>0</v>
      </c>
      <c r="AN174" t="s">
        <v>365</v>
      </c>
    </row>
    <row r="175" spans="1:40" x14ac:dyDescent="0.35">
      <c r="A175">
        <v>3944</v>
      </c>
      <c r="B175">
        <v>3782</v>
      </c>
      <c r="C175" t="s">
        <v>140</v>
      </c>
      <c r="E175">
        <v>2</v>
      </c>
      <c r="F175">
        <v>19</v>
      </c>
      <c r="I175" t="s">
        <v>21</v>
      </c>
      <c r="J175">
        <v>1</v>
      </c>
      <c r="K175" t="s">
        <v>21</v>
      </c>
      <c r="L175" t="s">
        <v>21</v>
      </c>
      <c r="M175" t="s">
        <v>32</v>
      </c>
      <c r="N175">
        <v>1</v>
      </c>
      <c r="O175">
        <v>-1</v>
      </c>
      <c r="P175" t="s">
        <v>21</v>
      </c>
      <c r="Q175" t="s">
        <v>21</v>
      </c>
      <c r="R175">
        <v>2</v>
      </c>
      <c r="S175">
        <v>5260</v>
      </c>
      <c r="T175">
        <v>1</v>
      </c>
      <c r="U175" t="s">
        <v>140</v>
      </c>
      <c r="Y175" t="s">
        <v>32</v>
      </c>
      <c r="AA175">
        <v>4497</v>
      </c>
      <c r="AB175" s="2">
        <v>45967.778090277781</v>
      </c>
      <c r="AC175" s="2">
        <v>45967.778090277781</v>
      </c>
      <c r="AD175" t="s">
        <v>135</v>
      </c>
      <c r="AE175">
        <v>0</v>
      </c>
      <c r="AF175" t="s">
        <v>21</v>
      </c>
      <c r="AG175">
        <v>0</v>
      </c>
      <c r="AK175">
        <v>0</v>
      </c>
      <c r="AN175" t="s">
        <v>366</v>
      </c>
    </row>
    <row r="176" spans="1:40" x14ac:dyDescent="0.35">
      <c r="A176">
        <v>3945</v>
      </c>
      <c r="B176">
        <v>3782</v>
      </c>
      <c r="C176" t="s">
        <v>241</v>
      </c>
      <c r="E176">
        <v>2</v>
      </c>
      <c r="F176">
        <v>19</v>
      </c>
      <c r="I176" t="s">
        <v>21</v>
      </c>
      <c r="J176">
        <v>1</v>
      </c>
      <c r="K176" t="s">
        <v>21</v>
      </c>
      <c r="L176" t="s">
        <v>21</v>
      </c>
      <c r="M176" t="s">
        <v>32</v>
      </c>
      <c r="N176">
        <v>1</v>
      </c>
      <c r="O176">
        <v>-1</v>
      </c>
      <c r="P176" t="s">
        <v>21</v>
      </c>
      <c r="Q176" t="s">
        <v>21</v>
      </c>
      <c r="R176">
        <v>2</v>
      </c>
      <c r="S176">
        <v>5264</v>
      </c>
      <c r="T176">
        <v>1</v>
      </c>
      <c r="U176" t="s">
        <v>241</v>
      </c>
      <c r="Y176" t="s">
        <v>32</v>
      </c>
      <c r="AA176">
        <v>4498</v>
      </c>
      <c r="AB176" s="2">
        <v>45967.778090277781</v>
      </c>
      <c r="AC176" s="2">
        <v>45967.778090277781</v>
      </c>
      <c r="AD176" t="s">
        <v>135</v>
      </c>
      <c r="AE176">
        <v>0</v>
      </c>
      <c r="AF176" t="s">
        <v>21</v>
      </c>
      <c r="AG176">
        <v>0</v>
      </c>
      <c r="AK176">
        <v>0</v>
      </c>
      <c r="AN176" t="s">
        <v>367</v>
      </c>
    </row>
    <row r="177" spans="1:40" x14ac:dyDescent="0.35">
      <c r="A177">
        <v>3946</v>
      </c>
      <c r="B177">
        <v>3782</v>
      </c>
      <c r="C177" t="s">
        <v>243</v>
      </c>
      <c r="E177">
        <v>2</v>
      </c>
      <c r="F177">
        <v>19</v>
      </c>
      <c r="I177" t="s">
        <v>21</v>
      </c>
      <c r="J177">
        <v>1</v>
      </c>
      <c r="K177" t="s">
        <v>21</v>
      </c>
      <c r="L177" t="s">
        <v>21</v>
      </c>
      <c r="M177" t="s">
        <v>32</v>
      </c>
      <c r="N177">
        <v>1</v>
      </c>
      <c r="O177">
        <v>-1</v>
      </c>
      <c r="P177" t="s">
        <v>21</v>
      </c>
      <c r="Q177" t="s">
        <v>21</v>
      </c>
      <c r="R177">
        <v>2</v>
      </c>
      <c r="S177">
        <v>5268</v>
      </c>
      <c r="T177">
        <v>1</v>
      </c>
      <c r="U177" t="s">
        <v>243</v>
      </c>
      <c r="Y177" t="s">
        <v>32</v>
      </c>
      <c r="AA177">
        <v>4499</v>
      </c>
      <c r="AB177" s="2">
        <v>45967.778090277781</v>
      </c>
      <c r="AC177" s="2">
        <v>45967.778090277781</v>
      </c>
      <c r="AD177" t="s">
        <v>135</v>
      </c>
      <c r="AE177">
        <v>0</v>
      </c>
      <c r="AF177" t="s">
        <v>21</v>
      </c>
      <c r="AG177">
        <v>0</v>
      </c>
      <c r="AK177">
        <v>0</v>
      </c>
      <c r="AN177" t="s">
        <v>368</v>
      </c>
    </row>
    <row r="178" spans="1:40" x14ac:dyDescent="0.35">
      <c r="A178">
        <v>3947</v>
      </c>
      <c r="B178">
        <v>3782</v>
      </c>
      <c r="C178" t="s">
        <v>369</v>
      </c>
      <c r="E178">
        <v>2</v>
      </c>
      <c r="F178">
        <v>19</v>
      </c>
      <c r="I178" t="s">
        <v>21</v>
      </c>
      <c r="J178">
        <v>1</v>
      </c>
      <c r="K178" t="s">
        <v>21</v>
      </c>
      <c r="L178" t="s">
        <v>21</v>
      </c>
      <c r="M178" t="s">
        <v>32</v>
      </c>
      <c r="N178">
        <v>1</v>
      </c>
      <c r="O178">
        <v>-1</v>
      </c>
      <c r="P178" t="s">
        <v>21</v>
      </c>
      <c r="Q178" t="s">
        <v>21</v>
      </c>
      <c r="R178">
        <v>2</v>
      </c>
      <c r="S178">
        <v>5272</v>
      </c>
      <c r="T178">
        <v>1</v>
      </c>
      <c r="U178" t="s">
        <v>369</v>
      </c>
      <c r="Y178" t="s">
        <v>32</v>
      </c>
      <c r="AA178">
        <v>4500</v>
      </c>
      <c r="AB178" s="2">
        <v>45967.778090277781</v>
      </c>
      <c r="AC178" s="2">
        <v>45967.778090277781</v>
      </c>
      <c r="AD178" t="s">
        <v>135</v>
      </c>
      <c r="AE178">
        <v>0</v>
      </c>
      <c r="AF178" t="s">
        <v>21</v>
      </c>
      <c r="AG178">
        <v>0</v>
      </c>
      <c r="AK178">
        <v>0</v>
      </c>
      <c r="AN178" t="s">
        <v>370</v>
      </c>
    </row>
    <row r="179" spans="1:40" x14ac:dyDescent="0.35">
      <c r="A179">
        <v>3786</v>
      </c>
      <c r="B179">
        <v>3785</v>
      </c>
      <c r="C179" t="s">
        <v>134</v>
      </c>
      <c r="E179">
        <v>6</v>
      </c>
      <c r="F179">
        <v>19</v>
      </c>
      <c r="I179" t="s">
        <v>32</v>
      </c>
      <c r="J179">
        <v>1</v>
      </c>
      <c r="K179" t="s">
        <v>32</v>
      </c>
      <c r="L179" t="s">
        <v>32</v>
      </c>
      <c r="M179" t="s">
        <v>21</v>
      </c>
      <c r="N179">
        <v>1</v>
      </c>
      <c r="O179">
        <v>-1</v>
      </c>
      <c r="P179" t="s">
        <v>21</v>
      </c>
      <c r="Q179" t="s">
        <v>21</v>
      </c>
      <c r="R179">
        <v>1</v>
      </c>
      <c r="S179">
        <v>4756</v>
      </c>
      <c r="T179">
        <v>3</v>
      </c>
      <c r="Y179" t="s">
        <v>32</v>
      </c>
      <c r="AA179">
        <v>3787</v>
      </c>
      <c r="AB179" s="2">
        <v>45967.778090277781</v>
      </c>
      <c r="AC179" s="2">
        <v>45967.778090277781</v>
      </c>
      <c r="AD179" t="s">
        <v>135</v>
      </c>
      <c r="AE179">
        <v>0</v>
      </c>
      <c r="AF179" t="s">
        <v>21</v>
      </c>
      <c r="AG179">
        <v>0</v>
      </c>
      <c r="AK179">
        <v>0</v>
      </c>
    </row>
    <row r="180" spans="1:40" x14ac:dyDescent="0.35">
      <c r="A180">
        <v>3948</v>
      </c>
      <c r="B180">
        <v>3785</v>
      </c>
      <c r="C180" t="s">
        <v>252</v>
      </c>
      <c r="E180">
        <v>2</v>
      </c>
      <c r="F180">
        <v>19</v>
      </c>
      <c r="I180" t="s">
        <v>21</v>
      </c>
      <c r="J180">
        <v>1</v>
      </c>
      <c r="K180" t="s">
        <v>21</v>
      </c>
      <c r="L180" t="s">
        <v>21</v>
      </c>
      <c r="M180" t="s">
        <v>32</v>
      </c>
      <c r="N180">
        <v>1</v>
      </c>
      <c r="O180">
        <v>-1</v>
      </c>
      <c r="P180" t="s">
        <v>21</v>
      </c>
      <c r="Q180" t="s">
        <v>21</v>
      </c>
      <c r="R180">
        <v>2</v>
      </c>
      <c r="S180">
        <v>5276</v>
      </c>
      <c r="T180">
        <v>1</v>
      </c>
      <c r="U180" t="s">
        <v>252</v>
      </c>
      <c r="Y180" t="s">
        <v>32</v>
      </c>
      <c r="AA180">
        <v>4501</v>
      </c>
      <c r="AB180" s="2">
        <v>45967.778090277781</v>
      </c>
      <c r="AC180" s="2">
        <v>45967.778090277781</v>
      </c>
      <c r="AD180" t="s">
        <v>135</v>
      </c>
      <c r="AE180">
        <v>0</v>
      </c>
      <c r="AF180" t="s">
        <v>21</v>
      </c>
      <c r="AG180">
        <v>0</v>
      </c>
      <c r="AK180">
        <v>0</v>
      </c>
      <c r="AN180" t="s">
        <v>371</v>
      </c>
    </row>
    <row r="181" spans="1:40" x14ac:dyDescent="0.35">
      <c r="A181">
        <v>3949</v>
      </c>
      <c r="B181">
        <v>3785</v>
      </c>
      <c r="C181" t="s">
        <v>346</v>
      </c>
      <c r="E181">
        <v>2</v>
      </c>
      <c r="F181">
        <v>19</v>
      </c>
      <c r="I181" t="s">
        <v>21</v>
      </c>
      <c r="J181">
        <v>1</v>
      </c>
      <c r="K181" t="s">
        <v>21</v>
      </c>
      <c r="L181" t="s">
        <v>21</v>
      </c>
      <c r="M181" t="s">
        <v>32</v>
      </c>
      <c r="N181">
        <v>1</v>
      </c>
      <c r="O181">
        <v>-1</v>
      </c>
      <c r="P181" t="s">
        <v>21</v>
      </c>
      <c r="Q181" t="s">
        <v>21</v>
      </c>
      <c r="R181">
        <v>2</v>
      </c>
      <c r="S181">
        <v>5280</v>
      </c>
      <c r="T181">
        <v>1</v>
      </c>
      <c r="U181" t="s">
        <v>346</v>
      </c>
      <c r="Y181" t="s">
        <v>32</v>
      </c>
      <c r="AA181">
        <v>4502</v>
      </c>
      <c r="AB181" s="2">
        <v>45967.778090277781</v>
      </c>
      <c r="AC181" s="2">
        <v>45967.778090277781</v>
      </c>
      <c r="AD181" t="s">
        <v>135</v>
      </c>
      <c r="AE181">
        <v>0</v>
      </c>
      <c r="AF181" t="s">
        <v>21</v>
      </c>
      <c r="AG181">
        <v>0</v>
      </c>
      <c r="AK181">
        <v>0</v>
      </c>
      <c r="AN181" t="s">
        <v>372</v>
      </c>
    </row>
    <row r="182" spans="1:40" x14ac:dyDescent="0.35">
      <c r="A182">
        <v>3950</v>
      </c>
      <c r="B182">
        <v>3785</v>
      </c>
      <c r="C182" t="s">
        <v>157</v>
      </c>
      <c r="E182">
        <v>2</v>
      </c>
      <c r="F182">
        <v>19</v>
      </c>
      <c r="I182" t="s">
        <v>21</v>
      </c>
      <c r="J182">
        <v>1</v>
      </c>
      <c r="K182" t="s">
        <v>21</v>
      </c>
      <c r="L182" t="s">
        <v>21</v>
      </c>
      <c r="M182" t="s">
        <v>32</v>
      </c>
      <c r="N182">
        <v>1</v>
      </c>
      <c r="O182">
        <v>-1</v>
      </c>
      <c r="P182" t="s">
        <v>21</v>
      </c>
      <c r="Q182" t="s">
        <v>21</v>
      </c>
      <c r="R182">
        <v>2</v>
      </c>
      <c r="S182">
        <v>5284</v>
      </c>
      <c r="T182">
        <v>1</v>
      </c>
      <c r="U182" t="s">
        <v>157</v>
      </c>
      <c r="Y182" t="s">
        <v>32</v>
      </c>
      <c r="AA182">
        <v>4503</v>
      </c>
      <c r="AB182" s="2">
        <v>45967.778090277781</v>
      </c>
      <c r="AC182" s="2">
        <v>45967.778090277781</v>
      </c>
      <c r="AD182" t="s">
        <v>135</v>
      </c>
      <c r="AE182">
        <v>0</v>
      </c>
      <c r="AF182" t="s">
        <v>21</v>
      </c>
      <c r="AG182">
        <v>0</v>
      </c>
      <c r="AK182">
        <v>0</v>
      </c>
      <c r="AN182" t="s">
        <v>373</v>
      </c>
    </row>
    <row r="183" spans="1:40" x14ac:dyDescent="0.35">
      <c r="A183">
        <v>3951</v>
      </c>
      <c r="B183">
        <v>3785</v>
      </c>
      <c r="C183" t="s">
        <v>140</v>
      </c>
      <c r="E183">
        <v>2</v>
      </c>
      <c r="F183">
        <v>19</v>
      </c>
      <c r="I183" t="s">
        <v>21</v>
      </c>
      <c r="J183">
        <v>1</v>
      </c>
      <c r="K183" t="s">
        <v>21</v>
      </c>
      <c r="L183" t="s">
        <v>21</v>
      </c>
      <c r="M183" t="s">
        <v>32</v>
      </c>
      <c r="N183">
        <v>1</v>
      </c>
      <c r="O183">
        <v>-1</v>
      </c>
      <c r="P183" t="s">
        <v>21</v>
      </c>
      <c r="Q183" t="s">
        <v>21</v>
      </c>
      <c r="R183">
        <v>2</v>
      </c>
      <c r="S183">
        <v>5288</v>
      </c>
      <c r="T183">
        <v>1</v>
      </c>
      <c r="U183" t="s">
        <v>140</v>
      </c>
      <c r="Y183" t="s">
        <v>32</v>
      </c>
      <c r="AA183">
        <v>4504</v>
      </c>
      <c r="AB183" s="2">
        <v>45967.778090277781</v>
      </c>
      <c r="AC183" s="2">
        <v>45967.778090277781</v>
      </c>
      <c r="AD183" t="s">
        <v>135</v>
      </c>
      <c r="AE183">
        <v>0</v>
      </c>
      <c r="AF183" t="s">
        <v>21</v>
      </c>
      <c r="AG183">
        <v>0</v>
      </c>
      <c r="AK183">
        <v>0</v>
      </c>
      <c r="AN183" t="s">
        <v>374</v>
      </c>
    </row>
    <row r="184" spans="1:40" x14ac:dyDescent="0.35">
      <c r="A184">
        <v>3952</v>
      </c>
      <c r="B184">
        <v>3785</v>
      </c>
      <c r="C184" t="s">
        <v>375</v>
      </c>
      <c r="E184">
        <v>9</v>
      </c>
      <c r="F184">
        <v>19</v>
      </c>
      <c r="I184" t="s">
        <v>21</v>
      </c>
      <c r="J184">
        <v>1</v>
      </c>
      <c r="K184" t="s">
        <v>21</v>
      </c>
      <c r="L184" t="s">
        <v>21</v>
      </c>
      <c r="M184" t="s">
        <v>32</v>
      </c>
      <c r="N184">
        <v>1</v>
      </c>
      <c r="O184">
        <v>-1</v>
      </c>
      <c r="P184" t="s">
        <v>21</v>
      </c>
      <c r="Q184" t="s">
        <v>21</v>
      </c>
      <c r="R184">
        <v>2</v>
      </c>
      <c r="S184">
        <v>5292</v>
      </c>
      <c r="T184">
        <v>1</v>
      </c>
      <c r="U184" t="s">
        <v>375</v>
      </c>
      <c r="X184" t="s">
        <v>160</v>
      </c>
      <c r="Y184" t="s">
        <v>32</v>
      </c>
      <c r="AA184">
        <v>4505</v>
      </c>
      <c r="AB184" s="2">
        <v>45967.778090277781</v>
      </c>
      <c r="AC184" s="2">
        <v>45967.778090277781</v>
      </c>
      <c r="AD184" t="s">
        <v>135</v>
      </c>
      <c r="AE184">
        <v>0</v>
      </c>
      <c r="AF184" t="s">
        <v>21</v>
      </c>
      <c r="AG184">
        <v>0</v>
      </c>
      <c r="AK184">
        <v>0</v>
      </c>
      <c r="AN184" t="s">
        <v>376</v>
      </c>
    </row>
    <row r="185" spans="1:40" x14ac:dyDescent="0.35">
      <c r="A185">
        <v>3960</v>
      </c>
      <c r="B185">
        <v>3785</v>
      </c>
      <c r="C185" t="s">
        <v>377</v>
      </c>
      <c r="E185">
        <v>9</v>
      </c>
      <c r="F185">
        <v>19</v>
      </c>
      <c r="I185" t="s">
        <v>21</v>
      </c>
      <c r="J185">
        <v>1</v>
      </c>
      <c r="K185" t="s">
        <v>21</v>
      </c>
      <c r="L185" t="s">
        <v>21</v>
      </c>
      <c r="M185" t="s">
        <v>32</v>
      </c>
      <c r="N185">
        <v>1</v>
      </c>
      <c r="O185">
        <v>-1</v>
      </c>
      <c r="P185" t="s">
        <v>21</v>
      </c>
      <c r="Q185" t="s">
        <v>21</v>
      </c>
      <c r="R185">
        <v>2</v>
      </c>
      <c r="S185">
        <v>5324</v>
      </c>
      <c r="T185">
        <v>1</v>
      </c>
      <c r="U185" t="s">
        <v>377</v>
      </c>
      <c r="X185" t="s">
        <v>160</v>
      </c>
      <c r="Y185" t="s">
        <v>32</v>
      </c>
      <c r="AA185">
        <v>4513</v>
      </c>
      <c r="AB185" s="2">
        <v>45967.778090277781</v>
      </c>
      <c r="AC185" s="2">
        <v>45967.778090277781</v>
      </c>
      <c r="AD185" t="s">
        <v>135</v>
      </c>
      <c r="AE185">
        <v>0</v>
      </c>
      <c r="AF185" t="s">
        <v>21</v>
      </c>
      <c r="AG185">
        <v>0</v>
      </c>
      <c r="AK185">
        <v>0</v>
      </c>
      <c r="AN185" t="s">
        <v>378</v>
      </c>
    </row>
    <row r="186" spans="1:40" x14ac:dyDescent="0.35">
      <c r="A186">
        <v>3968</v>
      </c>
      <c r="B186">
        <v>3785</v>
      </c>
      <c r="C186" t="s">
        <v>208</v>
      </c>
      <c r="E186">
        <v>2</v>
      </c>
      <c r="F186">
        <v>19</v>
      </c>
      <c r="I186" t="s">
        <v>21</v>
      </c>
      <c r="J186">
        <v>1</v>
      </c>
      <c r="K186" t="s">
        <v>21</v>
      </c>
      <c r="L186" t="s">
        <v>21</v>
      </c>
      <c r="M186" t="s">
        <v>32</v>
      </c>
      <c r="N186">
        <v>1</v>
      </c>
      <c r="O186">
        <v>-1</v>
      </c>
      <c r="P186" t="s">
        <v>21</v>
      </c>
      <c r="Q186" t="s">
        <v>21</v>
      </c>
      <c r="R186">
        <v>2</v>
      </c>
      <c r="S186">
        <v>5356</v>
      </c>
      <c r="T186">
        <v>1</v>
      </c>
      <c r="U186" t="s">
        <v>208</v>
      </c>
      <c r="Y186" t="s">
        <v>32</v>
      </c>
      <c r="AA186">
        <v>4521</v>
      </c>
      <c r="AB186" s="2">
        <v>45967.778090277781</v>
      </c>
      <c r="AC186" s="2">
        <v>45967.778090277781</v>
      </c>
      <c r="AD186" t="s">
        <v>135</v>
      </c>
      <c r="AE186">
        <v>0</v>
      </c>
      <c r="AF186" t="s">
        <v>21</v>
      </c>
      <c r="AG186">
        <v>0</v>
      </c>
      <c r="AK186">
        <v>0</v>
      </c>
      <c r="AN186" t="s">
        <v>379</v>
      </c>
    </row>
    <row r="187" spans="1:40" x14ac:dyDescent="0.35">
      <c r="A187">
        <v>3789</v>
      </c>
      <c r="B187">
        <v>3788</v>
      </c>
      <c r="C187" t="s">
        <v>134</v>
      </c>
      <c r="E187">
        <v>6</v>
      </c>
      <c r="F187">
        <v>19</v>
      </c>
      <c r="I187" t="s">
        <v>32</v>
      </c>
      <c r="J187">
        <v>1</v>
      </c>
      <c r="K187" t="s">
        <v>32</v>
      </c>
      <c r="L187" t="s">
        <v>32</v>
      </c>
      <c r="M187" t="s">
        <v>21</v>
      </c>
      <c r="N187">
        <v>1</v>
      </c>
      <c r="O187">
        <v>-1</v>
      </c>
      <c r="P187" t="s">
        <v>21</v>
      </c>
      <c r="Q187" t="s">
        <v>21</v>
      </c>
      <c r="R187">
        <v>1</v>
      </c>
      <c r="S187">
        <v>4760</v>
      </c>
      <c r="T187">
        <v>3</v>
      </c>
      <c r="Y187" t="s">
        <v>32</v>
      </c>
      <c r="AA187">
        <v>3790</v>
      </c>
      <c r="AB187" s="2">
        <v>45967.778090277781</v>
      </c>
      <c r="AC187" s="2">
        <v>45967.778090277781</v>
      </c>
      <c r="AD187" t="s">
        <v>135</v>
      </c>
      <c r="AE187">
        <v>2</v>
      </c>
      <c r="AF187" t="s">
        <v>21</v>
      </c>
      <c r="AG187">
        <v>0</v>
      </c>
      <c r="AK187">
        <v>0</v>
      </c>
    </row>
    <row r="188" spans="1:40" x14ac:dyDescent="0.35">
      <c r="A188">
        <v>3953</v>
      </c>
      <c r="B188">
        <v>3788</v>
      </c>
      <c r="D188" t="s">
        <v>166</v>
      </c>
      <c r="E188">
        <v>9</v>
      </c>
      <c r="F188">
        <v>9</v>
      </c>
      <c r="G188" t="s">
        <v>167</v>
      </c>
      <c r="I188" t="s">
        <v>32</v>
      </c>
      <c r="J188">
        <v>1</v>
      </c>
      <c r="K188" t="s">
        <v>21</v>
      </c>
      <c r="L188" t="s">
        <v>21</v>
      </c>
      <c r="M188" t="s">
        <v>32</v>
      </c>
      <c r="N188">
        <v>1</v>
      </c>
      <c r="O188">
        <v>-1</v>
      </c>
      <c r="P188" t="s">
        <v>21</v>
      </c>
      <c r="Q188" t="s">
        <v>21</v>
      </c>
      <c r="R188">
        <v>2</v>
      </c>
      <c r="S188">
        <v>5296</v>
      </c>
      <c r="T188">
        <v>4</v>
      </c>
      <c r="U188" t="s">
        <v>168</v>
      </c>
      <c r="X188" t="s">
        <v>169</v>
      </c>
      <c r="Y188" t="s">
        <v>32</v>
      </c>
      <c r="AA188">
        <v>4506</v>
      </c>
      <c r="AB188" s="2">
        <v>45967.778113425928</v>
      </c>
      <c r="AC188" s="2">
        <v>45967.778090277781</v>
      </c>
      <c r="AD188" t="s">
        <v>135</v>
      </c>
      <c r="AE188">
        <v>2</v>
      </c>
      <c r="AF188" t="s">
        <v>21</v>
      </c>
      <c r="AG188">
        <v>0</v>
      </c>
      <c r="AK188">
        <v>0</v>
      </c>
      <c r="AN188" t="s">
        <v>380</v>
      </c>
    </row>
    <row r="189" spans="1:40" x14ac:dyDescent="0.35">
      <c r="A189">
        <v>3954</v>
      </c>
      <c r="B189">
        <v>3788</v>
      </c>
      <c r="C189" t="s">
        <v>171</v>
      </c>
      <c r="E189">
        <v>6</v>
      </c>
      <c r="F189">
        <v>6</v>
      </c>
      <c r="G189" t="s">
        <v>172</v>
      </c>
      <c r="I189" t="s">
        <v>32</v>
      </c>
      <c r="J189">
        <v>1</v>
      </c>
      <c r="K189" t="s">
        <v>21</v>
      </c>
      <c r="L189" t="s">
        <v>21</v>
      </c>
      <c r="M189" t="s">
        <v>32</v>
      </c>
      <c r="N189">
        <v>1</v>
      </c>
      <c r="O189">
        <v>-1</v>
      </c>
      <c r="P189" t="s">
        <v>21</v>
      </c>
      <c r="Q189" t="s">
        <v>21</v>
      </c>
      <c r="R189">
        <v>2</v>
      </c>
      <c r="S189">
        <v>5300</v>
      </c>
      <c r="T189">
        <v>2</v>
      </c>
      <c r="W189" t="s">
        <v>173</v>
      </c>
      <c r="X189">
        <v>0</v>
      </c>
      <c r="Y189" t="s">
        <v>32</v>
      </c>
      <c r="AA189">
        <v>4507</v>
      </c>
      <c r="AB189" s="2">
        <v>45967.778113425928</v>
      </c>
      <c r="AC189" s="2">
        <v>45967.778090277781</v>
      </c>
      <c r="AD189" s="2">
        <v>45967.778113425928</v>
      </c>
      <c r="AE189">
        <v>2</v>
      </c>
      <c r="AF189" t="s">
        <v>21</v>
      </c>
      <c r="AG189">
        <v>0</v>
      </c>
      <c r="AK189">
        <v>0</v>
      </c>
      <c r="AN189" t="s">
        <v>381</v>
      </c>
    </row>
    <row r="190" spans="1:40" x14ac:dyDescent="0.35">
      <c r="A190">
        <v>3955</v>
      </c>
      <c r="B190">
        <v>3788</v>
      </c>
      <c r="C190" t="s">
        <v>175</v>
      </c>
      <c r="E190">
        <v>6</v>
      </c>
      <c r="F190">
        <v>6</v>
      </c>
      <c r="G190" t="s">
        <v>176</v>
      </c>
      <c r="I190" t="s">
        <v>32</v>
      </c>
      <c r="J190">
        <v>1</v>
      </c>
      <c r="K190" t="s">
        <v>21</v>
      </c>
      <c r="L190" t="s">
        <v>21</v>
      </c>
      <c r="M190" t="s">
        <v>32</v>
      </c>
      <c r="N190">
        <v>1</v>
      </c>
      <c r="O190">
        <v>-1</v>
      </c>
      <c r="P190" t="s">
        <v>21</v>
      </c>
      <c r="Q190" t="s">
        <v>21</v>
      </c>
      <c r="R190">
        <v>2</v>
      </c>
      <c r="S190">
        <v>5304</v>
      </c>
      <c r="T190">
        <v>2</v>
      </c>
      <c r="W190" t="s">
        <v>177</v>
      </c>
      <c r="X190">
        <v>0</v>
      </c>
      <c r="Y190" t="s">
        <v>32</v>
      </c>
      <c r="AA190">
        <v>4508</v>
      </c>
      <c r="AB190" s="2">
        <v>45967.778113425928</v>
      </c>
      <c r="AC190" s="2">
        <v>45967.778090277781</v>
      </c>
      <c r="AD190" s="2">
        <v>45967.778113425928</v>
      </c>
      <c r="AE190">
        <v>2</v>
      </c>
      <c r="AF190" t="s">
        <v>21</v>
      </c>
      <c r="AG190">
        <v>0</v>
      </c>
      <c r="AK190">
        <v>0</v>
      </c>
      <c r="AN190" t="s">
        <v>382</v>
      </c>
    </row>
    <row r="191" spans="1:40" x14ac:dyDescent="0.35">
      <c r="A191">
        <v>3956</v>
      </c>
      <c r="B191">
        <v>3788</v>
      </c>
      <c r="C191" t="s">
        <v>179</v>
      </c>
      <c r="E191">
        <v>2</v>
      </c>
      <c r="F191">
        <v>2</v>
      </c>
      <c r="G191" t="s">
        <v>180</v>
      </c>
      <c r="I191" t="s">
        <v>32</v>
      </c>
      <c r="J191">
        <v>1</v>
      </c>
      <c r="K191" t="s">
        <v>21</v>
      </c>
      <c r="L191" t="s">
        <v>21</v>
      </c>
      <c r="M191" t="s">
        <v>32</v>
      </c>
      <c r="N191">
        <v>1</v>
      </c>
      <c r="O191">
        <v>-1</v>
      </c>
      <c r="P191" t="s">
        <v>21</v>
      </c>
      <c r="Q191" t="s">
        <v>21</v>
      </c>
      <c r="R191">
        <v>2</v>
      </c>
      <c r="S191">
        <v>5308</v>
      </c>
      <c r="T191">
        <v>2</v>
      </c>
      <c r="W191" t="s">
        <v>181</v>
      </c>
      <c r="Y191" t="s">
        <v>32</v>
      </c>
      <c r="Z191">
        <v>3955</v>
      </c>
      <c r="AA191">
        <v>4509</v>
      </c>
      <c r="AB191" s="2">
        <v>45967.778113425928</v>
      </c>
      <c r="AC191" s="2">
        <v>45967.778090277781</v>
      </c>
      <c r="AD191" s="2">
        <v>45967.778113425928</v>
      </c>
      <c r="AE191">
        <v>2</v>
      </c>
      <c r="AF191" t="s">
        <v>21</v>
      </c>
      <c r="AG191">
        <v>0</v>
      </c>
      <c r="AK191">
        <v>0</v>
      </c>
      <c r="AN191" t="s">
        <v>383</v>
      </c>
    </row>
    <row r="192" spans="1:40" x14ac:dyDescent="0.35">
      <c r="A192">
        <v>3957</v>
      </c>
      <c r="B192">
        <v>3788</v>
      </c>
      <c r="C192" t="s">
        <v>183</v>
      </c>
      <c r="E192">
        <v>6</v>
      </c>
      <c r="F192">
        <v>6</v>
      </c>
      <c r="G192" t="s">
        <v>184</v>
      </c>
      <c r="I192" t="s">
        <v>32</v>
      </c>
      <c r="J192">
        <v>1</v>
      </c>
      <c r="K192" t="s">
        <v>21</v>
      </c>
      <c r="L192" t="s">
        <v>21</v>
      </c>
      <c r="M192" t="s">
        <v>32</v>
      </c>
      <c r="N192">
        <v>1</v>
      </c>
      <c r="O192">
        <v>-1</v>
      </c>
      <c r="P192" t="s">
        <v>21</v>
      </c>
      <c r="Q192" t="s">
        <v>21</v>
      </c>
      <c r="R192">
        <v>2</v>
      </c>
      <c r="S192">
        <v>5312</v>
      </c>
      <c r="T192">
        <v>2</v>
      </c>
      <c r="W192" t="s">
        <v>185</v>
      </c>
      <c r="X192">
        <v>0</v>
      </c>
      <c r="Y192" t="s">
        <v>32</v>
      </c>
      <c r="AA192">
        <v>4510</v>
      </c>
      <c r="AB192" s="2">
        <v>45967.778113425928</v>
      </c>
      <c r="AC192" s="2">
        <v>45967.778090277781</v>
      </c>
      <c r="AD192" s="2">
        <v>45967.778113425928</v>
      </c>
      <c r="AE192">
        <v>2</v>
      </c>
      <c r="AF192" t="s">
        <v>21</v>
      </c>
      <c r="AG192">
        <v>0</v>
      </c>
      <c r="AK192">
        <v>0</v>
      </c>
      <c r="AN192" t="s">
        <v>384</v>
      </c>
    </row>
    <row r="193" spans="1:40" x14ac:dyDescent="0.35">
      <c r="A193">
        <v>3958</v>
      </c>
      <c r="B193">
        <v>3788</v>
      </c>
      <c r="C193" t="s">
        <v>187</v>
      </c>
      <c r="E193">
        <v>2</v>
      </c>
      <c r="F193">
        <v>2</v>
      </c>
      <c r="G193" t="s">
        <v>188</v>
      </c>
      <c r="I193" t="s">
        <v>32</v>
      </c>
      <c r="J193">
        <v>1</v>
      </c>
      <c r="K193" t="s">
        <v>21</v>
      </c>
      <c r="L193" t="s">
        <v>21</v>
      </c>
      <c r="M193" t="s">
        <v>32</v>
      </c>
      <c r="N193">
        <v>1</v>
      </c>
      <c r="O193">
        <v>-1</v>
      </c>
      <c r="P193" t="s">
        <v>21</v>
      </c>
      <c r="Q193" t="s">
        <v>21</v>
      </c>
      <c r="R193">
        <v>2</v>
      </c>
      <c r="S193">
        <v>5316</v>
      </c>
      <c r="T193">
        <v>2</v>
      </c>
      <c r="W193" t="s">
        <v>189</v>
      </c>
      <c r="Y193" t="s">
        <v>32</v>
      </c>
      <c r="Z193">
        <v>3957</v>
      </c>
      <c r="AA193">
        <v>4511</v>
      </c>
      <c r="AB193" s="2">
        <v>45967.778113425928</v>
      </c>
      <c r="AC193" s="2">
        <v>45967.778090277781</v>
      </c>
      <c r="AD193" s="2">
        <v>45967.778113425928</v>
      </c>
      <c r="AE193">
        <v>2</v>
      </c>
      <c r="AF193" t="s">
        <v>21</v>
      </c>
      <c r="AG193">
        <v>0</v>
      </c>
      <c r="AK193">
        <v>0</v>
      </c>
      <c r="AN193" t="s">
        <v>385</v>
      </c>
    </row>
    <row r="194" spans="1:40" x14ac:dyDescent="0.35">
      <c r="A194">
        <v>3959</v>
      </c>
      <c r="B194">
        <v>3788</v>
      </c>
      <c r="C194" t="s">
        <v>191</v>
      </c>
      <c r="E194">
        <v>6</v>
      </c>
      <c r="F194">
        <v>6</v>
      </c>
      <c r="G194" t="s">
        <v>192</v>
      </c>
      <c r="I194" t="s">
        <v>32</v>
      </c>
      <c r="J194">
        <v>1</v>
      </c>
      <c r="K194" t="s">
        <v>21</v>
      </c>
      <c r="L194" t="s">
        <v>21</v>
      </c>
      <c r="M194" t="s">
        <v>32</v>
      </c>
      <c r="N194">
        <v>1</v>
      </c>
      <c r="O194">
        <v>-1</v>
      </c>
      <c r="P194" t="s">
        <v>21</v>
      </c>
      <c r="Q194" t="s">
        <v>21</v>
      </c>
      <c r="R194">
        <v>2</v>
      </c>
      <c r="S194">
        <v>5320</v>
      </c>
      <c r="T194">
        <v>2</v>
      </c>
      <c r="W194" t="s">
        <v>193</v>
      </c>
      <c r="X194">
        <v>0</v>
      </c>
      <c r="Y194" t="s">
        <v>32</v>
      </c>
      <c r="AA194">
        <v>4512</v>
      </c>
      <c r="AB194" s="2">
        <v>45967.778113425928</v>
      </c>
      <c r="AC194" s="2">
        <v>45967.778090277781</v>
      </c>
      <c r="AD194" s="2">
        <v>45967.778113425928</v>
      </c>
      <c r="AE194">
        <v>2</v>
      </c>
      <c r="AF194" t="s">
        <v>21</v>
      </c>
      <c r="AG194">
        <v>0</v>
      </c>
      <c r="AK194">
        <v>0</v>
      </c>
      <c r="AN194" t="s">
        <v>386</v>
      </c>
    </row>
    <row r="195" spans="1:40" x14ac:dyDescent="0.35">
      <c r="A195">
        <v>3792</v>
      </c>
      <c r="B195">
        <v>3791</v>
      </c>
      <c r="C195" t="s">
        <v>134</v>
      </c>
      <c r="E195">
        <v>6</v>
      </c>
      <c r="F195">
        <v>19</v>
      </c>
      <c r="I195" t="s">
        <v>32</v>
      </c>
      <c r="J195">
        <v>1</v>
      </c>
      <c r="K195" t="s">
        <v>32</v>
      </c>
      <c r="L195" t="s">
        <v>32</v>
      </c>
      <c r="M195" t="s">
        <v>21</v>
      </c>
      <c r="N195">
        <v>1</v>
      </c>
      <c r="O195">
        <v>-1</v>
      </c>
      <c r="P195" t="s">
        <v>21</v>
      </c>
      <c r="Q195" t="s">
        <v>21</v>
      </c>
      <c r="R195">
        <v>1</v>
      </c>
      <c r="S195">
        <v>4764</v>
      </c>
      <c r="T195">
        <v>3</v>
      </c>
      <c r="Y195" t="s">
        <v>32</v>
      </c>
      <c r="AA195">
        <v>3793</v>
      </c>
      <c r="AB195" s="2">
        <v>45967.778090277781</v>
      </c>
      <c r="AC195" s="2">
        <v>45967.778090277781</v>
      </c>
      <c r="AD195" t="s">
        <v>135</v>
      </c>
      <c r="AE195">
        <v>2</v>
      </c>
      <c r="AF195" t="s">
        <v>21</v>
      </c>
      <c r="AG195">
        <v>0</v>
      </c>
      <c r="AK195">
        <v>0</v>
      </c>
    </row>
    <row r="196" spans="1:40" x14ac:dyDescent="0.35">
      <c r="A196">
        <v>3961</v>
      </c>
      <c r="B196">
        <v>3791</v>
      </c>
      <c r="D196" t="s">
        <v>166</v>
      </c>
      <c r="E196">
        <v>9</v>
      </c>
      <c r="F196">
        <v>9</v>
      </c>
      <c r="G196" t="s">
        <v>167</v>
      </c>
      <c r="I196" t="s">
        <v>32</v>
      </c>
      <c r="J196">
        <v>1</v>
      </c>
      <c r="K196" t="s">
        <v>21</v>
      </c>
      <c r="L196" t="s">
        <v>21</v>
      </c>
      <c r="M196" t="s">
        <v>32</v>
      </c>
      <c r="N196">
        <v>1</v>
      </c>
      <c r="O196">
        <v>-1</v>
      </c>
      <c r="P196" t="s">
        <v>21</v>
      </c>
      <c r="Q196" t="s">
        <v>21</v>
      </c>
      <c r="R196">
        <v>2</v>
      </c>
      <c r="S196">
        <v>5328</v>
      </c>
      <c r="T196">
        <v>4</v>
      </c>
      <c r="U196" t="s">
        <v>168</v>
      </c>
      <c r="X196" t="s">
        <v>169</v>
      </c>
      <c r="Y196" t="s">
        <v>32</v>
      </c>
      <c r="AA196">
        <v>4514</v>
      </c>
      <c r="AB196" s="2">
        <v>45967.778113425928</v>
      </c>
      <c r="AC196" s="2">
        <v>45967.778090277781</v>
      </c>
      <c r="AD196" t="s">
        <v>135</v>
      </c>
      <c r="AE196">
        <v>2</v>
      </c>
      <c r="AF196" t="s">
        <v>21</v>
      </c>
      <c r="AG196">
        <v>0</v>
      </c>
      <c r="AK196">
        <v>0</v>
      </c>
      <c r="AN196" t="s">
        <v>387</v>
      </c>
    </row>
    <row r="197" spans="1:40" x14ac:dyDescent="0.35">
      <c r="A197">
        <v>3962</v>
      </c>
      <c r="B197">
        <v>3791</v>
      </c>
      <c r="C197" t="s">
        <v>171</v>
      </c>
      <c r="E197">
        <v>6</v>
      </c>
      <c r="F197">
        <v>6</v>
      </c>
      <c r="G197" t="s">
        <v>172</v>
      </c>
      <c r="I197" t="s">
        <v>32</v>
      </c>
      <c r="J197">
        <v>1</v>
      </c>
      <c r="K197" t="s">
        <v>21</v>
      </c>
      <c r="L197" t="s">
        <v>21</v>
      </c>
      <c r="M197" t="s">
        <v>32</v>
      </c>
      <c r="N197">
        <v>1</v>
      </c>
      <c r="O197">
        <v>-1</v>
      </c>
      <c r="P197" t="s">
        <v>21</v>
      </c>
      <c r="Q197" t="s">
        <v>21</v>
      </c>
      <c r="R197">
        <v>2</v>
      </c>
      <c r="S197">
        <v>5332</v>
      </c>
      <c r="T197">
        <v>2</v>
      </c>
      <c r="W197" t="s">
        <v>173</v>
      </c>
      <c r="X197">
        <v>0</v>
      </c>
      <c r="Y197" t="s">
        <v>32</v>
      </c>
      <c r="AA197">
        <v>4515</v>
      </c>
      <c r="AB197" s="2">
        <v>45967.778113425928</v>
      </c>
      <c r="AC197" s="2">
        <v>45967.778090277781</v>
      </c>
      <c r="AD197" s="2">
        <v>45967.778113425928</v>
      </c>
      <c r="AE197">
        <v>2</v>
      </c>
      <c r="AF197" t="s">
        <v>21</v>
      </c>
      <c r="AG197">
        <v>0</v>
      </c>
      <c r="AK197">
        <v>0</v>
      </c>
      <c r="AN197" t="s">
        <v>388</v>
      </c>
    </row>
    <row r="198" spans="1:40" x14ac:dyDescent="0.35">
      <c r="A198">
        <v>3963</v>
      </c>
      <c r="B198">
        <v>3791</v>
      </c>
      <c r="C198" t="s">
        <v>175</v>
      </c>
      <c r="E198">
        <v>6</v>
      </c>
      <c r="F198">
        <v>6</v>
      </c>
      <c r="G198" t="s">
        <v>176</v>
      </c>
      <c r="I198" t="s">
        <v>32</v>
      </c>
      <c r="J198">
        <v>1</v>
      </c>
      <c r="K198" t="s">
        <v>21</v>
      </c>
      <c r="L198" t="s">
        <v>21</v>
      </c>
      <c r="M198" t="s">
        <v>32</v>
      </c>
      <c r="N198">
        <v>1</v>
      </c>
      <c r="O198">
        <v>-1</v>
      </c>
      <c r="P198" t="s">
        <v>21</v>
      </c>
      <c r="Q198" t="s">
        <v>21</v>
      </c>
      <c r="R198">
        <v>2</v>
      </c>
      <c r="S198">
        <v>5336</v>
      </c>
      <c r="T198">
        <v>2</v>
      </c>
      <c r="W198" t="s">
        <v>177</v>
      </c>
      <c r="X198">
        <v>0</v>
      </c>
      <c r="Y198" t="s">
        <v>32</v>
      </c>
      <c r="AA198">
        <v>4516</v>
      </c>
      <c r="AB198" s="2">
        <v>45967.778113425928</v>
      </c>
      <c r="AC198" s="2">
        <v>45967.778090277781</v>
      </c>
      <c r="AD198" s="2">
        <v>45967.778113425928</v>
      </c>
      <c r="AE198">
        <v>2</v>
      </c>
      <c r="AF198" t="s">
        <v>21</v>
      </c>
      <c r="AG198">
        <v>0</v>
      </c>
      <c r="AK198">
        <v>0</v>
      </c>
      <c r="AN198" t="s">
        <v>389</v>
      </c>
    </row>
    <row r="199" spans="1:40" x14ac:dyDescent="0.35">
      <c r="A199">
        <v>3964</v>
      </c>
      <c r="B199">
        <v>3791</v>
      </c>
      <c r="C199" t="s">
        <v>179</v>
      </c>
      <c r="E199">
        <v>2</v>
      </c>
      <c r="F199">
        <v>2</v>
      </c>
      <c r="G199" t="s">
        <v>180</v>
      </c>
      <c r="I199" t="s">
        <v>32</v>
      </c>
      <c r="J199">
        <v>1</v>
      </c>
      <c r="K199" t="s">
        <v>21</v>
      </c>
      <c r="L199" t="s">
        <v>21</v>
      </c>
      <c r="M199" t="s">
        <v>32</v>
      </c>
      <c r="N199">
        <v>1</v>
      </c>
      <c r="O199">
        <v>-1</v>
      </c>
      <c r="P199" t="s">
        <v>21</v>
      </c>
      <c r="Q199" t="s">
        <v>21</v>
      </c>
      <c r="R199">
        <v>2</v>
      </c>
      <c r="S199">
        <v>5340</v>
      </c>
      <c r="T199">
        <v>2</v>
      </c>
      <c r="W199" t="s">
        <v>181</v>
      </c>
      <c r="Y199" t="s">
        <v>32</v>
      </c>
      <c r="Z199">
        <v>3963</v>
      </c>
      <c r="AA199">
        <v>4517</v>
      </c>
      <c r="AB199" s="2">
        <v>45967.778113425928</v>
      </c>
      <c r="AC199" s="2">
        <v>45967.778090277781</v>
      </c>
      <c r="AD199" s="2">
        <v>45967.778113425928</v>
      </c>
      <c r="AE199">
        <v>2</v>
      </c>
      <c r="AF199" t="s">
        <v>21</v>
      </c>
      <c r="AG199">
        <v>0</v>
      </c>
      <c r="AK199">
        <v>0</v>
      </c>
      <c r="AN199" t="s">
        <v>390</v>
      </c>
    </row>
    <row r="200" spans="1:40" x14ac:dyDescent="0.35">
      <c r="A200">
        <v>3965</v>
      </c>
      <c r="B200">
        <v>3791</v>
      </c>
      <c r="C200" t="s">
        <v>183</v>
      </c>
      <c r="E200">
        <v>6</v>
      </c>
      <c r="F200">
        <v>6</v>
      </c>
      <c r="G200" t="s">
        <v>184</v>
      </c>
      <c r="I200" t="s">
        <v>32</v>
      </c>
      <c r="J200">
        <v>1</v>
      </c>
      <c r="K200" t="s">
        <v>21</v>
      </c>
      <c r="L200" t="s">
        <v>21</v>
      </c>
      <c r="M200" t="s">
        <v>32</v>
      </c>
      <c r="N200">
        <v>1</v>
      </c>
      <c r="O200">
        <v>-1</v>
      </c>
      <c r="P200" t="s">
        <v>21</v>
      </c>
      <c r="Q200" t="s">
        <v>21</v>
      </c>
      <c r="R200">
        <v>2</v>
      </c>
      <c r="S200">
        <v>5344</v>
      </c>
      <c r="T200">
        <v>2</v>
      </c>
      <c r="W200" t="s">
        <v>185</v>
      </c>
      <c r="X200">
        <v>0</v>
      </c>
      <c r="Y200" t="s">
        <v>32</v>
      </c>
      <c r="AA200">
        <v>4518</v>
      </c>
      <c r="AB200" s="2">
        <v>45967.778113425928</v>
      </c>
      <c r="AC200" s="2">
        <v>45967.778090277781</v>
      </c>
      <c r="AD200" s="2">
        <v>45967.778113425928</v>
      </c>
      <c r="AE200">
        <v>2</v>
      </c>
      <c r="AF200" t="s">
        <v>21</v>
      </c>
      <c r="AG200">
        <v>0</v>
      </c>
      <c r="AK200">
        <v>0</v>
      </c>
      <c r="AN200" t="s">
        <v>391</v>
      </c>
    </row>
    <row r="201" spans="1:40" x14ac:dyDescent="0.35">
      <c r="A201">
        <v>3966</v>
      </c>
      <c r="B201">
        <v>3791</v>
      </c>
      <c r="C201" t="s">
        <v>187</v>
      </c>
      <c r="E201">
        <v>2</v>
      </c>
      <c r="F201">
        <v>2</v>
      </c>
      <c r="G201" t="s">
        <v>188</v>
      </c>
      <c r="I201" t="s">
        <v>32</v>
      </c>
      <c r="J201">
        <v>1</v>
      </c>
      <c r="K201" t="s">
        <v>21</v>
      </c>
      <c r="L201" t="s">
        <v>21</v>
      </c>
      <c r="M201" t="s">
        <v>32</v>
      </c>
      <c r="N201">
        <v>1</v>
      </c>
      <c r="O201">
        <v>-1</v>
      </c>
      <c r="P201" t="s">
        <v>21</v>
      </c>
      <c r="Q201" t="s">
        <v>21</v>
      </c>
      <c r="R201">
        <v>2</v>
      </c>
      <c r="S201">
        <v>5348</v>
      </c>
      <c r="T201">
        <v>2</v>
      </c>
      <c r="W201" t="s">
        <v>189</v>
      </c>
      <c r="Y201" t="s">
        <v>32</v>
      </c>
      <c r="Z201">
        <v>3965</v>
      </c>
      <c r="AA201">
        <v>4519</v>
      </c>
      <c r="AB201" s="2">
        <v>45967.778113425928</v>
      </c>
      <c r="AC201" s="2">
        <v>45967.778090277781</v>
      </c>
      <c r="AD201" s="2">
        <v>45967.778113425928</v>
      </c>
      <c r="AE201">
        <v>2</v>
      </c>
      <c r="AF201" t="s">
        <v>21</v>
      </c>
      <c r="AG201">
        <v>0</v>
      </c>
      <c r="AK201">
        <v>0</v>
      </c>
      <c r="AN201" s="4" t="s">
        <v>392</v>
      </c>
    </row>
    <row r="202" spans="1:40" x14ac:dyDescent="0.35">
      <c r="A202">
        <v>3967</v>
      </c>
      <c r="B202">
        <v>3791</v>
      </c>
      <c r="C202" t="s">
        <v>191</v>
      </c>
      <c r="E202">
        <v>6</v>
      </c>
      <c r="F202">
        <v>6</v>
      </c>
      <c r="G202" t="s">
        <v>192</v>
      </c>
      <c r="I202" t="s">
        <v>32</v>
      </c>
      <c r="J202">
        <v>1</v>
      </c>
      <c r="K202" t="s">
        <v>21</v>
      </c>
      <c r="L202" t="s">
        <v>21</v>
      </c>
      <c r="M202" t="s">
        <v>32</v>
      </c>
      <c r="N202">
        <v>1</v>
      </c>
      <c r="O202">
        <v>-1</v>
      </c>
      <c r="P202" t="s">
        <v>21</v>
      </c>
      <c r="Q202" t="s">
        <v>21</v>
      </c>
      <c r="R202">
        <v>2</v>
      </c>
      <c r="S202">
        <v>5352</v>
      </c>
      <c r="T202">
        <v>2</v>
      </c>
      <c r="W202" t="s">
        <v>193</v>
      </c>
      <c r="X202">
        <v>0</v>
      </c>
      <c r="Y202" t="s">
        <v>32</v>
      </c>
      <c r="AA202">
        <v>4520</v>
      </c>
      <c r="AB202" s="2">
        <v>45967.778113425928</v>
      </c>
      <c r="AC202" s="2">
        <v>45967.778090277781</v>
      </c>
      <c r="AD202" s="2">
        <v>45967.778113425928</v>
      </c>
      <c r="AE202">
        <v>2</v>
      </c>
      <c r="AF202" t="s">
        <v>21</v>
      </c>
      <c r="AG202">
        <v>0</v>
      </c>
      <c r="AK202">
        <v>0</v>
      </c>
      <c r="AN202" t="s">
        <v>393</v>
      </c>
    </row>
    <row r="203" spans="1:40" x14ac:dyDescent="0.35">
      <c r="A203">
        <v>3801</v>
      </c>
      <c r="B203">
        <v>3800</v>
      </c>
      <c r="C203" t="s">
        <v>134</v>
      </c>
      <c r="E203">
        <v>6</v>
      </c>
      <c r="F203">
        <v>19</v>
      </c>
      <c r="I203" t="s">
        <v>32</v>
      </c>
      <c r="J203">
        <v>1</v>
      </c>
      <c r="K203" t="s">
        <v>32</v>
      </c>
      <c r="L203" t="s">
        <v>32</v>
      </c>
      <c r="M203" t="s">
        <v>21</v>
      </c>
      <c r="N203">
        <v>1</v>
      </c>
      <c r="O203">
        <v>-1</v>
      </c>
      <c r="P203" t="s">
        <v>21</v>
      </c>
      <c r="Q203" t="s">
        <v>21</v>
      </c>
      <c r="R203">
        <v>1</v>
      </c>
      <c r="S203">
        <v>4776</v>
      </c>
      <c r="T203">
        <v>3</v>
      </c>
      <c r="Y203" t="s">
        <v>32</v>
      </c>
      <c r="AA203">
        <v>3802</v>
      </c>
      <c r="AB203" s="2">
        <v>45967.778090277781</v>
      </c>
      <c r="AC203" s="2">
        <v>45967.778090277781</v>
      </c>
      <c r="AD203" t="s">
        <v>135</v>
      </c>
      <c r="AE203">
        <v>0</v>
      </c>
      <c r="AF203" t="s">
        <v>21</v>
      </c>
      <c r="AG203">
        <v>0</v>
      </c>
      <c r="AK203">
        <v>0</v>
      </c>
    </row>
    <row r="204" spans="1:40" x14ac:dyDescent="0.35">
      <c r="A204">
        <v>3980</v>
      </c>
      <c r="B204">
        <v>3800</v>
      </c>
      <c r="C204" t="s">
        <v>257</v>
      </c>
      <c r="E204">
        <v>2</v>
      </c>
      <c r="F204">
        <v>19</v>
      </c>
      <c r="I204" t="s">
        <v>21</v>
      </c>
      <c r="J204">
        <v>1</v>
      </c>
      <c r="K204" t="s">
        <v>21</v>
      </c>
      <c r="L204" t="s">
        <v>21</v>
      </c>
      <c r="M204" t="s">
        <v>32</v>
      </c>
      <c r="N204">
        <v>1</v>
      </c>
      <c r="O204">
        <v>-1</v>
      </c>
      <c r="P204" t="s">
        <v>21</v>
      </c>
      <c r="Q204" t="s">
        <v>21</v>
      </c>
      <c r="R204">
        <v>2</v>
      </c>
      <c r="S204">
        <v>5404</v>
      </c>
      <c r="T204">
        <v>1</v>
      </c>
      <c r="U204" t="s">
        <v>257</v>
      </c>
      <c r="Y204" t="s">
        <v>32</v>
      </c>
      <c r="AA204">
        <v>4533</v>
      </c>
      <c r="AB204" s="2">
        <v>45967.778090277781</v>
      </c>
      <c r="AC204" s="2">
        <v>45967.778090277781</v>
      </c>
      <c r="AD204" t="s">
        <v>135</v>
      </c>
      <c r="AE204">
        <v>0</v>
      </c>
      <c r="AF204" t="s">
        <v>21</v>
      </c>
      <c r="AG204">
        <v>0</v>
      </c>
      <c r="AK204">
        <v>0</v>
      </c>
      <c r="AN204" t="s">
        <v>394</v>
      </c>
    </row>
    <row r="205" spans="1:40" x14ac:dyDescent="0.35">
      <c r="A205">
        <v>3804</v>
      </c>
      <c r="B205">
        <v>3803</v>
      </c>
      <c r="C205" t="s">
        <v>134</v>
      </c>
      <c r="E205">
        <v>6</v>
      </c>
      <c r="F205">
        <v>19</v>
      </c>
      <c r="I205" t="s">
        <v>32</v>
      </c>
      <c r="J205">
        <v>1</v>
      </c>
      <c r="K205" t="s">
        <v>32</v>
      </c>
      <c r="L205" t="s">
        <v>32</v>
      </c>
      <c r="M205" t="s">
        <v>21</v>
      </c>
      <c r="N205">
        <v>1</v>
      </c>
      <c r="O205">
        <v>-1</v>
      </c>
      <c r="P205" t="s">
        <v>21</v>
      </c>
      <c r="Q205" t="s">
        <v>21</v>
      </c>
      <c r="R205">
        <v>1</v>
      </c>
      <c r="S205">
        <v>4780</v>
      </c>
      <c r="T205">
        <v>3</v>
      </c>
      <c r="Y205" t="s">
        <v>32</v>
      </c>
      <c r="AA205">
        <v>3805</v>
      </c>
      <c r="AB205" s="2">
        <v>45967.778090277781</v>
      </c>
      <c r="AC205" s="2">
        <v>45967.778090277781</v>
      </c>
      <c r="AD205" t="s">
        <v>135</v>
      </c>
      <c r="AE205">
        <v>0</v>
      </c>
      <c r="AF205" t="s">
        <v>21</v>
      </c>
      <c r="AG205">
        <v>0</v>
      </c>
      <c r="AK205">
        <v>0</v>
      </c>
    </row>
    <row r="206" spans="1:40" x14ac:dyDescent="0.35">
      <c r="A206">
        <v>3981</v>
      </c>
      <c r="B206">
        <v>3803</v>
      </c>
      <c r="C206" t="s">
        <v>136</v>
      </c>
      <c r="E206">
        <v>2</v>
      </c>
      <c r="F206">
        <v>19</v>
      </c>
      <c r="I206" t="s">
        <v>21</v>
      </c>
      <c r="J206">
        <v>1</v>
      </c>
      <c r="K206" t="s">
        <v>21</v>
      </c>
      <c r="L206" t="s">
        <v>21</v>
      </c>
      <c r="M206" t="s">
        <v>32</v>
      </c>
      <c r="N206">
        <v>1</v>
      </c>
      <c r="O206">
        <v>-1</v>
      </c>
      <c r="P206" t="s">
        <v>21</v>
      </c>
      <c r="Q206" t="s">
        <v>21</v>
      </c>
      <c r="R206">
        <v>2</v>
      </c>
      <c r="S206">
        <v>5408</v>
      </c>
      <c r="T206">
        <v>1</v>
      </c>
      <c r="U206" t="s">
        <v>136</v>
      </c>
      <c r="Y206" t="s">
        <v>32</v>
      </c>
      <c r="AA206">
        <v>4534</v>
      </c>
      <c r="AB206" s="2">
        <v>45967.778090277781</v>
      </c>
      <c r="AC206" s="2">
        <v>45967.778090277781</v>
      </c>
      <c r="AD206" t="s">
        <v>135</v>
      </c>
      <c r="AE206">
        <v>0</v>
      </c>
      <c r="AF206" t="s">
        <v>21</v>
      </c>
      <c r="AG206">
        <v>0</v>
      </c>
      <c r="AK206">
        <v>0</v>
      </c>
      <c r="AN206" t="s">
        <v>395</v>
      </c>
    </row>
    <row r="207" spans="1:40" x14ac:dyDescent="0.35">
      <c r="A207">
        <v>3982</v>
      </c>
      <c r="B207">
        <v>3803</v>
      </c>
      <c r="C207" t="s">
        <v>354</v>
      </c>
      <c r="E207">
        <v>2</v>
      </c>
      <c r="F207">
        <v>19</v>
      </c>
      <c r="I207" t="s">
        <v>21</v>
      </c>
      <c r="J207">
        <v>1</v>
      </c>
      <c r="K207" t="s">
        <v>21</v>
      </c>
      <c r="L207" t="s">
        <v>21</v>
      </c>
      <c r="M207" t="s">
        <v>32</v>
      </c>
      <c r="N207">
        <v>1</v>
      </c>
      <c r="O207">
        <v>-1</v>
      </c>
      <c r="P207" t="s">
        <v>21</v>
      </c>
      <c r="Q207" t="s">
        <v>21</v>
      </c>
      <c r="R207">
        <v>2</v>
      </c>
      <c r="S207">
        <v>5412</v>
      </c>
      <c r="T207">
        <v>1</v>
      </c>
      <c r="U207" t="s">
        <v>354</v>
      </c>
      <c r="Y207" t="s">
        <v>32</v>
      </c>
      <c r="AA207">
        <v>4535</v>
      </c>
      <c r="AB207" s="2">
        <v>45967.778090277781</v>
      </c>
      <c r="AC207" s="2">
        <v>45967.778090277781</v>
      </c>
      <c r="AD207" t="s">
        <v>135</v>
      </c>
      <c r="AE207">
        <v>0</v>
      </c>
      <c r="AF207" t="s">
        <v>21</v>
      </c>
      <c r="AG207">
        <v>0</v>
      </c>
      <c r="AK207">
        <v>0</v>
      </c>
      <c r="AN207" t="s">
        <v>396</v>
      </c>
    </row>
    <row r="208" spans="1:40" x14ac:dyDescent="0.35">
      <c r="A208">
        <v>3983</v>
      </c>
      <c r="B208">
        <v>3803</v>
      </c>
      <c r="C208" t="s">
        <v>397</v>
      </c>
      <c r="E208">
        <v>8</v>
      </c>
      <c r="F208">
        <v>19</v>
      </c>
      <c r="I208" t="s">
        <v>21</v>
      </c>
      <c r="J208">
        <v>1</v>
      </c>
      <c r="K208" t="s">
        <v>21</v>
      </c>
      <c r="L208" t="s">
        <v>21</v>
      </c>
      <c r="M208" t="s">
        <v>32</v>
      </c>
      <c r="N208">
        <v>1</v>
      </c>
      <c r="O208">
        <v>-1</v>
      </c>
      <c r="P208" t="s">
        <v>21</v>
      </c>
      <c r="Q208" t="s">
        <v>21</v>
      </c>
      <c r="R208">
        <v>3</v>
      </c>
      <c r="S208">
        <v>5416</v>
      </c>
      <c r="T208">
        <v>1</v>
      </c>
      <c r="U208" t="s">
        <v>397</v>
      </c>
      <c r="Y208" t="s">
        <v>32</v>
      </c>
      <c r="AA208">
        <v>4536</v>
      </c>
      <c r="AB208" s="2">
        <v>45967.778090277781</v>
      </c>
      <c r="AC208" s="2">
        <v>45967.778090277781</v>
      </c>
      <c r="AD208" t="s">
        <v>135</v>
      </c>
      <c r="AE208">
        <v>0</v>
      </c>
      <c r="AF208" t="s">
        <v>21</v>
      </c>
      <c r="AG208">
        <v>0</v>
      </c>
      <c r="AK208">
        <v>0</v>
      </c>
      <c r="AN208" t="s">
        <v>398</v>
      </c>
    </row>
    <row r="209" spans="1:40" x14ac:dyDescent="0.35">
      <c r="A209">
        <v>3810</v>
      </c>
      <c r="B209">
        <v>3809</v>
      </c>
      <c r="C209" t="s">
        <v>134</v>
      </c>
      <c r="E209">
        <v>6</v>
      </c>
      <c r="F209">
        <v>19</v>
      </c>
      <c r="I209" t="s">
        <v>32</v>
      </c>
      <c r="J209">
        <v>1</v>
      </c>
      <c r="K209" t="s">
        <v>32</v>
      </c>
      <c r="L209" t="s">
        <v>32</v>
      </c>
      <c r="M209" t="s">
        <v>21</v>
      </c>
      <c r="N209">
        <v>1</v>
      </c>
      <c r="O209">
        <v>-1</v>
      </c>
      <c r="P209" t="s">
        <v>21</v>
      </c>
      <c r="Q209" t="s">
        <v>21</v>
      </c>
      <c r="R209">
        <v>1</v>
      </c>
      <c r="S209">
        <v>4788</v>
      </c>
      <c r="T209">
        <v>3</v>
      </c>
      <c r="Y209" t="s">
        <v>32</v>
      </c>
      <c r="AA209">
        <v>3811</v>
      </c>
      <c r="AB209" s="2">
        <v>45967.778090277781</v>
      </c>
      <c r="AC209" s="2">
        <v>45967.778090277781</v>
      </c>
      <c r="AD209" t="s">
        <v>135</v>
      </c>
      <c r="AE209">
        <v>0</v>
      </c>
      <c r="AF209" t="s">
        <v>21</v>
      </c>
      <c r="AG209">
        <v>0</v>
      </c>
      <c r="AK209">
        <v>0</v>
      </c>
    </row>
    <row r="210" spans="1:40" x14ac:dyDescent="0.35">
      <c r="A210">
        <v>3987</v>
      </c>
      <c r="B210">
        <v>3809</v>
      </c>
      <c r="C210" t="s">
        <v>399</v>
      </c>
      <c r="E210">
        <v>2</v>
      </c>
      <c r="F210">
        <v>19</v>
      </c>
      <c r="I210" t="s">
        <v>21</v>
      </c>
      <c r="J210">
        <v>1</v>
      </c>
      <c r="K210" t="s">
        <v>21</v>
      </c>
      <c r="L210" t="s">
        <v>21</v>
      </c>
      <c r="M210" t="s">
        <v>32</v>
      </c>
      <c r="N210">
        <v>1</v>
      </c>
      <c r="O210">
        <v>-1</v>
      </c>
      <c r="P210" t="s">
        <v>21</v>
      </c>
      <c r="Q210" t="s">
        <v>21</v>
      </c>
      <c r="R210">
        <v>2</v>
      </c>
      <c r="S210">
        <v>5432</v>
      </c>
      <c r="T210">
        <v>1</v>
      </c>
      <c r="U210" t="s">
        <v>399</v>
      </c>
      <c r="Y210" t="s">
        <v>32</v>
      </c>
      <c r="AA210">
        <v>4540</v>
      </c>
      <c r="AB210" s="2">
        <v>45967.778090277781</v>
      </c>
      <c r="AC210" s="2">
        <v>45967.778090277781</v>
      </c>
      <c r="AD210" t="s">
        <v>135</v>
      </c>
      <c r="AE210">
        <v>0</v>
      </c>
      <c r="AF210" t="s">
        <v>21</v>
      </c>
      <c r="AG210">
        <v>0</v>
      </c>
      <c r="AK210">
        <v>0</v>
      </c>
      <c r="AN210" t="s">
        <v>400</v>
      </c>
    </row>
    <row r="211" spans="1:40" x14ac:dyDescent="0.35">
      <c r="A211">
        <v>3988</v>
      </c>
      <c r="B211">
        <v>3809</v>
      </c>
      <c r="C211" t="s">
        <v>252</v>
      </c>
      <c r="E211">
        <v>2</v>
      </c>
      <c r="F211">
        <v>19</v>
      </c>
      <c r="I211" t="s">
        <v>21</v>
      </c>
      <c r="J211">
        <v>1</v>
      </c>
      <c r="K211" t="s">
        <v>21</v>
      </c>
      <c r="L211" t="s">
        <v>21</v>
      </c>
      <c r="M211" t="s">
        <v>32</v>
      </c>
      <c r="N211">
        <v>1</v>
      </c>
      <c r="O211">
        <v>-1</v>
      </c>
      <c r="P211" t="s">
        <v>21</v>
      </c>
      <c r="Q211" t="s">
        <v>21</v>
      </c>
      <c r="R211">
        <v>2</v>
      </c>
      <c r="S211">
        <v>5436</v>
      </c>
      <c r="T211">
        <v>1</v>
      </c>
      <c r="U211" t="s">
        <v>252</v>
      </c>
      <c r="Y211" t="s">
        <v>32</v>
      </c>
      <c r="AA211">
        <v>4541</v>
      </c>
      <c r="AB211" s="2">
        <v>45967.778090277781</v>
      </c>
      <c r="AC211" s="2">
        <v>45967.778090277781</v>
      </c>
      <c r="AD211" t="s">
        <v>135</v>
      </c>
      <c r="AE211">
        <v>0</v>
      </c>
      <c r="AF211" t="s">
        <v>21</v>
      </c>
      <c r="AG211">
        <v>0</v>
      </c>
      <c r="AK211">
        <v>0</v>
      </c>
      <c r="AN211" t="s">
        <v>401</v>
      </c>
    </row>
    <row r="212" spans="1:40" x14ac:dyDescent="0.35">
      <c r="A212">
        <v>10119</v>
      </c>
      <c r="B212">
        <v>10118</v>
      </c>
      <c r="C212" t="s">
        <v>134</v>
      </c>
      <c r="E212">
        <v>6</v>
      </c>
      <c r="F212">
        <v>19</v>
      </c>
      <c r="I212" t="s">
        <v>32</v>
      </c>
      <c r="J212">
        <v>1</v>
      </c>
      <c r="K212" t="s">
        <v>32</v>
      </c>
      <c r="L212" t="s">
        <v>32</v>
      </c>
      <c r="M212" t="s">
        <v>21</v>
      </c>
      <c r="N212">
        <v>1</v>
      </c>
      <c r="O212">
        <v>-1</v>
      </c>
      <c r="P212" t="s">
        <v>21</v>
      </c>
      <c r="Q212" t="s">
        <v>21</v>
      </c>
      <c r="R212">
        <v>1</v>
      </c>
      <c r="S212">
        <v>10137</v>
      </c>
      <c r="T212">
        <v>3</v>
      </c>
      <c r="Y212" t="s">
        <v>32</v>
      </c>
      <c r="AA212">
        <v>10120</v>
      </c>
      <c r="AB212" s="2">
        <v>45967.786643518521</v>
      </c>
      <c r="AC212" s="2">
        <v>45967.786643518521</v>
      </c>
      <c r="AD212" t="s">
        <v>135</v>
      </c>
      <c r="AE212">
        <v>0</v>
      </c>
      <c r="AF212" t="s">
        <v>21</v>
      </c>
      <c r="AG212">
        <v>0</v>
      </c>
      <c r="AK212">
        <v>0</v>
      </c>
    </row>
    <row r="213" spans="1:40" x14ac:dyDescent="0.35">
      <c r="A213">
        <v>10121</v>
      </c>
      <c r="B213">
        <v>10118</v>
      </c>
      <c r="C213" t="s">
        <v>136</v>
      </c>
      <c r="E213">
        <v>2</v>
      </c>
      <c r="F213">
        <v>19</v>
      </c>
      <c r="I213" t="s">
        <v>21</v>
      </c>
      <c r="J213">
        <v>1</v>
      </c>
      <c r="K213" t="s">
        <v>21</v>
      </c>
      <c r="L213" t="s">
        <v>21</v>
      </c>
      <c r="M213" t="s">
        <v>32</v>
      </c>
      <c r="N213">
        <v>1</v>
      </c>
      <c r="O213">
        <v>-1</v>
      </c>
      <c r="P213" t="s">
        <v>21</v>
      </c>
      <c r="Q213" t="s">
        <v>21</v>
      </c>
      <c r="R213">
        <v>2</v>
      </c>
      <c r="S213">
        <v>10141</v>
      </c>
      <c r="T213">
        <v>1</v>
      </c>
      <c r="U213" t="s">
        <v>136</v>
      </c>
      <c r="Y213" t="s">
        <v>32</v>
      </c>
      <c r="AA213">
        <v>10129</v>
      </c>
      <c r="AB213" s="2">
        <v>45967.786643518521</v>
      </c>
      <c r="AC213" s="2">
        <v>45967.786643518521</v>
      </c>
      <c r="AD213" t="s">
        <v>135</v>
      </c>
      <c r="AE213">
        <v>0</v>
      </c>
      <c r="AF213" t="s">
        <v>21</v>
      </c>
      <c r="AG213">
        <v>0</v>
      </c>
      <c r="AK213">
        <v>0</v>
      </c>
      <c r="AN213" t="s">
        <v>402</v>
      </c>
    </row>
    <row r="214" spans="1:40" x14ac:dyDescent="0.35">
      <c r="A214">
        <v>10122</v>
      </c>
      <c r="B214">
        <v>10118</v>
      </c>
      <c r="C214" t="s">
        <v>252</v>
      </c>
      <c r="E214">
        <v>2</v>
      </c>
      <c r="F214">
        <v>19</v>
      </c>
      <c r="I214" t="s">
        <v>21</v>
      </c>
      <c r="J214">
        <v>1</v>
      </c>
      <c r="K214" t="s">
        <v>21</v>
      </c>
      <c r="L214" t="s">
        <v>21</v>
      </c>
      <c r="M214" t="s">
        <v>32</v>
      </c>
      <c r="N214">
        <v>1</v>
      </c>
      <c r="O214">
        <v>-1</v>
      </c>
      <c r="P214" t="s">
        <v>21</v>
      </c>
      <c r="Q214" t="s">
        <v>21</v>
      </c>
      <c r="R214">
        <v>2</v>
      </c>
      <c r="S214">
        <v>10145</v>
      </c>
      <c r="T214">
        <v>1</v>
      </c>
      <c r="U214" t="s">
        <v>252</v>
      </c>
      <c r="Y214" t="s">
        <v>32</v>
      </c>
      <c r="AA214">
        <v>10130</v>
      </c>
      <c r="AB214" s="2">
        <v>45967.786643518521</v>
      </c>
      <c r="AC214" s="2">
        <v>45967.786643518521</v>
      </c>
      <c r="AD214" t="s">
        <v>135</v>
      </c>
      <c r="AE214">
        <v>0</v>
      </c>
      <c r="AF214" t="s">
        <v>21</v>
      </c>
      <c r="AG214">
        <v>0</v>
      </c>
      <c r="AK214">
        <v>0</v>
      </c>
      <c r="AN214" t="s">
        <v>403</v>
      </c>
    </row>
    <row r="215" spans="1:40" x14ac:dyDescent="0.35">
      <c r="A215">
        <v>10123</v>
      </c>
      <c r="B215">
        <v>10118</v>
      </c>
      <c r="C215" t="s">
        <v>140</v>
      </c>
      <c r="E215">
        <v>2</v>
      </c>
      <c r="F215">
        <v>19</v>
      </c>
      <c r="I215" t="s">
        <v>21</v>
      </c>
      <c r="J215">
        <v>1</v>
      </c>
      <c r="K215" t="s">
        <v>21</v>
      </c>
      <c r="L215" t="s">
        <v>21</v>
      </c>
      <c r="M215" t="s">
        <v>32</v>
      </c>
      <c r="N215">
        <v>1</v>
      </c>
      <c r="O215">
        <v>-1</v>
      </c>
      <c r="P215" t="s">
        <v>21</v>
      </c>
      <c r="Q215" t="s">
        <v>21</v>
      </c>
      <c r="R215">
        <v>2</v>
      </c>
      <c r="S215">
        <v>10149</v>
      </c>
      <c r="T215">
        <v>1</v>
      </c>
      <c r="U215" t="s">
        <v>140</v>
      </c>
      <c r="Y215" t="s">
        <v>32</v>
      </c>
      <c r="AA215">
        <v>10131</v>
      </c>
      <c r="AB215" s="2">
        <v>45967.786643518521</v>
      </c>
      <c r="AC215" s="2">
        <v>45967.786643518521</v>
      </c>
      <c r="AD215" t="s">
        <v>135</v>
      </c>
      <c r="AE215">
        <v>0</v>
      </c>
      <c r="AF215" t="s">
        <v>21</v>
      </c>
      <c r="AG215">
        <v>0</v>
      </c>
      <c r="AK215">
        <v>0</v>
      </c>
      <c r="AN215" t="s">
        <v>404</v>
      </c>
    </row>
    <row r="216" spans="1:40" x14ac:dyDescent="0.35">
      <c r="A216">
        <v>10233</v>
      </c>
      <c r="B216">
        <v>10232</v>
      </c>
      <c r="C216" t="s">
        <v>134</v>
      </c>
      <c r="E216">
        <v>6</v>
      </c>
      <c r="F216">
        <v>19</v>
      </c>
      <c r="I216" t="s">
        <v>32</v>
      </c>
      <c r="J216">
        <v>1</v>
      </c>
      <c r="K216" t="s">
        <v>32</v>
      </c>
      <c r="L216" t="s">
        <v>32</v>
      </c>
      <c r="M216" t="s">
        <v>21</v>
      </c>
      <c r="N216">
        <v>1</v>
      </c>
      <c r="O216">
        <v>-1</v>
      </c>
      <c r="P216" t="s">
        <v>21</v>
      </c>
      <c r="Q216" t="s">
        <v>21</v>
      </c>
      <c r="R216">
        <v>1</v>
      </c>
      <c r="S216">
        <v>10243</v>
      </c>
      <c r="T216">
        <v>3</v>
      </c>
      <c r="Y216" t="s">
        <v>32</v>
      </c>
      <c r="AA216">
        <v>10234</v>
      </c>
      <c r="AB216" s="2">
        <v>45967.795972222222</v>
      </c>
      <c r="AC216" s="2">
        <v>45967.79583333333</v>
      </c>
      <c r="AD216" t="s">
        <v>135</v>
      </c>
      <c r="AE216">
        <v>2</v>
      </c>
      <c r="AF216" t="s">
        <v>21</v>
      </c>
      <c r="AG216">
        <v>0</v>
      </c>
      <c r="AK216">
        <v>0</v>
      </c>
    </row>
    <row r="217" spans="1:40" x14ac:dyDescent="0.35">
      <c r="A217">
        <v>10282</v>
      </c>
      <c r="B217">
        <v>10232</v>
      </c>
      <c r="C217" t="s">
        <v>405</v>
      </c>
      <c r="D217" t="s">
        <v>405</v>
      </c>
      <c r="E217">
        <v>1</v>
      </c>
      <c r="F217">
        <v>9</v>
      </c>
      <c r="I217" t="s">
        <v>21</v>
      </c>
      <c r="J217">
        <v>1</v>
      </c>
      <c r="K217" t="s">
        <v>21</v>
      </c>
      <c r="L217" t="s">
        <v>21</v>
      </c>
      <c r="M217" t="s">
        <v>32</v>
      </c>
      <c r="N217">
        <v>1</v>
      </c>
      <c r="O217">
        <v>-1</v>
      </c>
      <c r="P217" t="s">
        <v>21</v>
      </c>
      <c r="Q217" t="s">
        <v>21</v>
      </c>
      <c r="R217">
        <v>2</v>
      </c>
      <c r="S217">
        <v>10302</v>
      </c>
      <c r="T217">
        <v>4</v>
      </c>
      <c r="U217" t="s">
        <v>406</v>
      </c>
      <c r="X217" t="s">
        <v>169</v>
      </c>
      <c r="Y217" t="s">
        <v>32</v>
      </c>
      <c r="AA217">
        <v>10283</v>
      </c>
      <c r="AB217" s="2">
        <v>45967.795972222222</v>
      </c>
      <c r="AC217" s="2">
        <v>45967.795960648145</v>
      </c>
      <c r="AD217" t="s">
        <v>135</v>
      </c>
      <c r="AE217">
        <v>2</v>
      </c>
      <c r="AF217" t="s">
        <v>21</v>
      </c>
      <c r="AG217">
        <v>0</v>
      </c>
      <c r="AK217">
        <v>0</v>
      </c>
      <c r="AN217" t="s">
        <v>407</v>
      </c>
    </row>
    <row r="218" spans="1:40" x14ac:dyDescent="0.35">
      <c r="A218">
        <v>10284</v>
      </c>
      <c r="B218">
        <v>10232</v>
      </c>
      <c r="D218" t="s">
        <v>408</v>
      </c>
      <c r="E218">
        <v>1</v>
      </c>
      <c r="F218">
        <v>6</v>
      </c>
      <c r="I218" t="s">
        <v>21</v>
      </c>
      <c r="J218">
        <v>1</v>
      </c>
      <c r="K218" t="s">
        <v>21</v>
      </c>
      <c r="L218" t="s">
        <v>21</v>
      </c>
      <c r="M218" t="s">
        <v>32</v>
      </c>
      <c r="N218">
        <v>1</v>
      </c>
      <c r="O218">
        <v>-1</v>
      </c>
      <c r="P218" t="s">
        <v>21</v>
      </c>
      <c r="Q218" t="s">
        <v>21</v>
      </c>
      <c r="R218">
        <v>3</v>
      </c>
      <c r="S218">
        <v>10306</v>
      </c>
      <c r="T218">
        <v>4</v>
      </c>
      <c r="U218" t="s">
        <v>409</v>
      </c>
      <c r="X218">
        <v>0</v>
      </c>
      <c r="Y218" t="s">
        <v>32</v>
      </c>
      <c r="AA218">
        <v>10285</v>
      </c>
      <c r="AB218" s="2">
        <v>45967.795972222222</v>
      </c>
      <c r="AC218" s="2">
        <v>45967.795960648145</v>
      </c>
      <c r="AD218" t="s">
        <v>135</v>
      </c>
      <c r="AE218">
        <v>2</v>
      </c>
      <c r="AF218" t="s">
        <v>21</v>
      </c>
      <c r="AG218">
        <v>0</v>
      </c>
      <c r="AK218">
        <v>0</v>
      </c>
      <c r="AN218" t="s">
        <v>410</v>
      </c>
    </row>
    <row r="219" spans="1:40" x14ac:dyDescent="0.35">
      <c r="A219">
        <v>10286</v>
      </c>
      <c r="B219">
        <v>10232</v>
      </c>
      <c r="D219" t="s">
        <v>411</v>
      </c>
      <c r="E219">
        <v>1</v>
      </c>
      <c r="F219">
        <v>2</v>
      </c>
      <c r="I219" t="s">
        <v>21</v>
      </c>
      <c r="J219">
        <v>1</v>
      </c>
      <c r="K219" t="s">
        <v>21</v>
      </c>
      <c r="L219" t="s">
        <v>21</v>
      </c>
      <c r="M219" t="s">
        <v>32</v>
      </c>
      <c r="N219">
        <v>1</v>
      </c>
      <c r="O219">
        <v>-1</v>
      </c>
      <c r="P219" t="s">
        <v>21</v>
      </c>
      <c r="Q219" t="s">
        <v>21</v>
      </c>
      <c r="R219">
        <v>2</v>
      </c>
      <c r="S219">
        <v>10310</v>
      </c>
      <c r="T219">
        <v>4</v>
      </c>
      <c r="U219" t="s">
        <v>412</v>
      </c>
      <c r="Y219" t="s">
        <v>32</v>
      </c>
      <c r="AA219">
        <v>10287</v>
      </c>
      <c r="AB219" s="2">
        <v>45967.795972222222</v>
      </c>
      <c r="AC219" s="2">
        <v>45967.795960648145</v>
      </c>
      <c r="AD219" t="s">
        <v>135</v>
      </c>
      <c r="AE219">
        <v>2</v>
      </c>
      <c r="AF219" t="s">
        <v>21</v>
      </c>
      <c r="AG219">
        <v>0</v>
      </c>
      <c r="AK219">
        <v>0</v>
      </c>
      <c r="AN219" t="s">
        <v>413</v>
      </c>
    </row>
    <row r="220" spans="1:40" x14ac:dyDescent="0.35">
      <c r="A220">
        <v>10288</v>
      </c>
      <c r="B220">
        <v>10232</v>
      </c>
      <c r="D220" t="s">
        <v>414</v>
      </c>
      <c r="E220">
        <v>1</v>
      </c>
      <c r="F220">
        <v>6</v>
      </c>
      <c r="I220" t="s">
        <v>21</v>
      </c>
      <c r="J220">
        <v>1</v>
      </c>
      <c r="K220" t="s">
        <v>21</v>
      </c>
      <c r="L220" t="s">
        <v>21</v>
      </c>
      <c r="M220" t="s">
        <v>32</v>
      </c>
      <c r="N220">
        <v>1</v>
      </c>
      <c r="O220">
        <v>-1</v>
      </c>
      <c r="P220" t="s">
        <v>21</v>
      </c>
      <c r="Q220" t="s">
        <v>21</v>
      </c>
      <c r="R220">
        <v>3</v>
      </c>
      <c r="S220">
        <v>10314</v>
      </c>
      <c r="T220">
        <v>4</v>
      </c>
      <c r="U220" t="s">
        <v>415</v>
      </c>
      <c r="X220">
        <v>0</v>
      </c>
      <c r="Y220" t="s">
        <v>32</v>
      </c>
      <c r="AA220">
        <v>10289</v>
      </c>
      <c r="AB220" s="2">
        <v>45967.795972222222</v>
      </c>
      <c r="AC220" s="2">
        <v>45967.795960648145</v>
      </c>
      <c r="AD220" t="s">
        <v>135</v>
      </c>
      <c r="AE220">
        <v>2</v>
      </c>
      <c r="AF220" t="s">
        <v>21</v>
      </c>
      <c r="AG220">
        <v>0</v>
      </c>
      <c r="AK220">
        <v>0</v>
      </c>
      <c r="AN220" t="s">
        <v>416</v>
      </c>
    </row>
    <row r="221" spans="1:40" x14ac:dyDescent="0.35">
      <c r="A221">
        <v>10290</v>
      </c>
      <c r="B221">
        <v>10232</v>
      </c>
      <c r="D221" t="s">
        <v>417</v>
      </c>
      <c r="E221">
        <v>1</v>
      </c>
      <c r="F221">
        <v>6</v>
      </c>
      <c r="I221" t="s">
        <v>21</v>
      </c>
      <c r="J221">
        <v>1</v>
      </c>
      <c r="K221" t="s">
        <v>21</v>
      </c>
      <c r="L221" t="s">
        <v>21</v>
      </c>
      <c r="M221" t="s">
        <v>32</v>
      </c>
      <c r="N221">
        <v>1</v>
      </c>
      <c r="O221">
        <v>-1</v>
      </c>
      <c r="P221" t="s">
        <v>21</v>
      </c>
      <c r="Q221" t="s">
        <v>21</v>
      </c>
      <c r="R221">
        <v>3</v>
      </c>
      <c r="S221">
        <v>10318</v>
      </c>
      <c r="T221">
        <v>4</v>
      </c>
      <c r="U221" t="s">
        <v>418</v>
      </c>
      <c r="X221">
        <v>0</v>
      </c>
      <c r="Y221" t="s">
        <v>32</v>
      </c>
      <c r="AA221">
        <v>10291</v>
      </c>
      <c r="AB221" s="2">
        <v>45967.795972222222</v>
      </c>
      <c r="AC221" s="2">
        <v>45967.795960648145</v>
      </c>
      <c r="AD221" t="s">
        <v>135</v>
      </c>
      <c r="AE221">
        <v>2</v>
      </c>
      <c r="AF221" t="s">
        <v>21</v>
      </c>
      <c r="AG221">
        <v>0</v>
      </c>
      <c r="AK221">
        <v>0</v>
      </c>
      <c r="AN221" t="s">
        <v>419</v>
      </c>
    </row>
    <row r="222" spans="1:40" x14ac:dyDescent="0.35">
      <c r="A222">
        <v>10292</v>
      </c>
      <c r="B222">
        <v>10232</v>
      </c>
      <c r="D222" t="s">
        <v>420</v>
      </c>
      <c r="E222">
        <v>1</v>
      </c>
      <c r="F222">
        <v>2</v>
      </c>
      <c r="I222" t="s">
        <v>21</v>
      </c>
      <c r="J222">
        <v>1</v>
      </c>
      <c r="K222" t="s">
        <v>21</v>
      </c>
      <c r="L222" t="s">
        <v>21</v>
      </c>
      <c r="M222" t="s">
        <v>32</v>
      </c>
      <c r="N222">
        <v>1</v>
      </c>
      <c r="O222">
        <v>-1</v>
      </c>
      <c r="P222" t="s">
        <v>21</v>
      </c>
      <c r="Q222" t="s">
        <v>21</v>
      </c>
      <c r="R222">
        <v>2</v>
      </c>
      <c r="S222">
        <v>10322</v>
      </c>
      <c r="T222">
        <v>4</v>
      </c>
      <c r="U222" t="s">
        <v>421</v>
      </c>
      <c r="Y222" t="s">
        <v>32</v>
      </c>
      <c r="AA222">
        <v>10293</v>
      </c>
      <c r="AB222" s="2">
        <v>45967.795972222222</v>
      </c>
      <c r="AC222" s="2">
        <v>45967.795960648145</v>
      </c>
      <c r="AD222" t="s">
        <v>135</v>
      </c>
      <c r="AE222">
        <v>2</v>
      </c>
      <c r="AF222" t="s">
        <v>21</v>
      </c>
      <c r="AG222">
        <v>0</v>
      </c>
      <c r="AK222">
        <v>0</v>
      </c>
      <c r="AN222" t="s">
        <v>422</v>
      </c>
    </row>
    <row r="223" spans="1:40" x14ac:dyDescent="0.35">
      <c r="A223">
        <v>10294</v>
      </c>
      <c r="B223">
        <v>10232</v>
      </c>
      <c r="D223" t="s">
        <v>423</v>
      </c>
      <c r="E223">
        <v>1</v>
      </c>
      <c r="F223">
        <v>2</v>
      </c>
      <c r="I223" t="s">
        <v>21</v>
      </c>
      <c r="J223">
        <v>1</v>
      </c>
      <c r="K223" t="s">
        <v>21</v>
      </c>
      <c r="L223" t="s">
        <v>21</v>
      </c>
      <c r="M223" t="s">
        <v>32</v>
      </c>
      <c r="N223">
        <v>1</v>
      </c>
      <c r="O223">
        <v>-1</v>
      </c>
      <c r="P223" t="s">
        <v>21</v>
      </c>
      <c r="Q223" t="s">
        <v>21</v>
      </c>
      <c r="R223">
        <v>2</v>
      </c>
      <c r="S223">
        <v>10326</v>
      </c>
      <c r="T223">
        <v>4</v>
      </c>
      <c r="U223" t="s">
        <v>424</v>
      </c>
      <c r="Y223" t="s">
        <v>32</v>
      </c>
      <c r="AA223">
        <v>10295</v>
      </c>
      <c r="AB223" s="2">
        <v>45967.795972222222</v>
      </c>
      <c r="AC223" s="2">
        <v>45967.795960648145</v>
      </c>
      <c r="AD223" t="s">
        <v>135</v>
      </c>
      <c r="AE223">
        <v>2</v>
      </c>
      <c r="AF223" t="s">
        <v>21</v>
      </c>
      <c r="AG223">
        <v>0</v>
      </c>
      <c r="AK223">
        <v>0</v>
      </c>
      <c r="AN223" t="s">
        <v>425</v>
      </c>
    </row>
    <row r="224" spans="1:40" x14ac:dyDescent="0.35">
      <c r="A224">
        <v>10296</v>
      </c>
      <c r="B224">
        <v>10232</v>
      </c>
      <c r="D224" t="s">
        <v>426</v>
      </c>
      <c r="E224">
        <v>1</v>
      </c>
      <c r="F224">
        <v>9</v>
      </c>
      <c r="I224" t="s">
        <v>21</v>
      </c>
      <c r="J224">
        <v>1</v>
      </c>
      <c r="K224" t="s">
        <v>21</v>
      </c>
      <c r="L224" t="s">
        <v>21</v>
      </c>
      <c r="M224" t="s">
        <v>32</v>
      </c>
      <c r="N224">
        <v>1</v>
      </c>
      <c r="O224">
        <v>-1</v>
      </c>
      <c r="P224" t="s">
        <v>21</v>
      </c>
      <c r="Q224" t="s">
        <v>21</v>
      </c>
      <c r="R224">
        <v>2</v>
      </c>
      <c r="S224">
        <v>10330</v>
      </c>
      <c r="T224">
        <v>4</v>
      </c>
      <c r="U224" t="s">
        <v>427</v>
      </c>
      <c r="X224" t="s">
        <v>169</v>
      </c>
      <c r="Y224" t="s">
        <v>32</v>
      </c>
      <c r="AA224">
        <v>10297</v>
      </c>
      <c r="AB224" s="2">
        <v>45967.795972222222</v>
      </c>
      <c r="AC224" s="2">
        <v>45967.795960648145</v>
      </c>
      <c r="AD224" t="s">
        <v>135</v>
      </c>
      <c r="AE224">
        <v>2</v>
      </c>
      <c r="AF224" t="s">
        <v>21</v>
      </c>
      <c r="AG224">
        <v>0</v>
      </c>
      <c r="AK224">
        <v>0</v>
      </c>
      <c r="AN224" t="s">
        <v>428</v>
      </c>
    </row>
    <row r="225" spans="1:40" x14ac:dyDescent="0.35">
      <c r="A225">
        <v>10298</v>
      </c>
      <c r="B225">
        <v>10232</v>
      </c>
      <c r="D225" t="s">
        <v>429</v>
      </c>
      <c r="E225">
        <v>1</v>
      </c>
      <c r="F225">
        <v>9</v>
      </c>
      <c r="I225" t="s">
        <v>21</v>
      </c>
      <c r="J225">
        <v>1</v>
      </c>
      <c r="K225" t="s">
        <v>21</v>
      </c>
      <c r="L225" t="s">
        <v>21</v>
      </c>
      <c r="M225" t="s">
        <v>32</v>
      </c>
      <c r="N225">
        <v>1</v>
      </c>
      <c r="O225">
        <v>-1</v>
      </c>
      <c r="P225" t="s">
        <v>21</v>
      </c>
      <c r="Q225" t="s">
        <v>21</v>
      </c>
      <c r="R225">
        <v>2</v>
      </c>
      <c r="S225">
        <v>10334</v>
      </c>
      <c r="T225">
        <v>4</v>
      </c>
      <c r="U225" t="s">
        <v>430</v>
      </c>
      <c r="X225" t="s">
        <v>169</v>
      </c>
      <c r="Y225" t="s">
        <v>32</v>
      </c>
      <c r="AA225">
        <v>10299</v>
      </c>
      <c r="AB225" s="2">
        <v>45967.795972222222</v>
      </c>
      <c r="AC225" s="2">
        <v>45967.795960648145</v>
      </c>
      <c r="AD225" t="s">
        <v>135</v>
      </c>
      <c r="AE225">
        <v>2</v>
      </c>
      <c r="AF225" t="s">
        <v>21</v>
      </c>
      <c r="AG225">
        <v>0</v>
      </c>
      <c r="AK225">
        <v>0</v>
      </c>
      <c r="AN225" t="s">
        <v>431</v>
      </c>
    </row>
    <row r="226" spans="1:40" x14ac:dyDescent="0.35">
      <c r="A226">
        <v>10300</v>
      </c>
      <c r="B226">
        <v>10232</v>
      </c>
      <c r="D226" t="s">
        <v>432</v>
      </c>
      <c r="E226">
        <v>1</v>
      </c>
      <c r="F226">
        <v>6</v>
      </c>
      <c r="I226" t="s">
        <v>21</v>
      </c>
      <c r="J226">
        <v>1</v>
      </c>
      <c r="K226" t="s">
        <v>21</v>
      </c>
      <c r="L226" t="s">
        <v>21</v>
      </c>
      <c r="M226" t="s">
        <v>32</v>
      </c>
      <c r="N226">
        <v>1</v>
      </c>
      <c r="O226">
        <v>-1</v>
      </c>
      <c r="P226" t="s">
        <v>21</v>
      </c>
      <c r="Q226" t="s">
        <v>21</v>
      </c>
      <c r="R226">
        <v>3</v>
      </c>
      <c r="S226">
        <v>10338</v>
      </c>
      <c r="T226">
        <v>4</v>
      </c>
      <c r="U226" t="s">
        <v>433</v>
      </c>
      <c r="X226">
        <v>0</v>
      </c>
      <c r="Y226" t="s">
        <v>32</v>
      </c>
      <c r="AA226">
        <v>10301</v>
      </c>
      <c r="AB226" s="2">
        <v>45967.795972222222</v>
      </c>
      <c r="AC226" s="2">
        <v>45967.795960648145</v>
      </c>
      <c r="AD226" t="s">
        <v>135</v>
      </c>
      <c r="AE226">
        <v>2</v>
      </c>
      <c r="AF226" t="s">
        <v>21</v>
      </c>
      <c r="AG226">
        <v>0</v>
      </c>
      <c r="AK226">
        <v>0</v>
      </c>
      <c r="AN226" t="s">
        <v>434</v>
      </c>
    </row>
    <row r="227" spans="1:40" x14ac:dyDescent="0.35">
      <c r="A227">
        <v>10353</v>
      </c>
      <c r="B227">
        <v>10352</v>
      </c>
      <c r="C227" t="s">
        <v>134</v>
      </c>
      <c r="E227">
        <v>6</v>
      </c>
      <c r="F227">
        <v>19</v>
      </c>
      <c r="I227" t="s">
        <v>32</v>
      </c>
      <c r="J227">
        <v>1</v>
      </c>
      <c r="K227" t="s">
        <v>32</v>
      </c>
      <c r="L227" t="s">
        <v>32</v>
      </c>
      <c r="M227" t="s">
        <v>21</v>
      </c>
      <c r="N227">
        <v>1</v>
      </c>
      <c r="O227">
        <v>-1</v>
      </c>
      <c r="P227" t="s">
        <v>21</v>
      </c>
      <c r="Q227" t="s">
        <v>21</v>
      </c>
      <c r="R227">
        <v>1</v>
      </c>
      <c r="S227">
        <v>10497</v>
      </c>
      <c r="T227">
        <v>3</v>
      </c>
      <c r="Y227" t="s">
        <v>32</v>
      </c>
      <c r="AA227">
        <v>10354</v>
      </c>
      <c r="AB227" s="2">
        <v>45967.795960648145</v>
      </c>
      <c r="AC227" s="2">
        <v>45967.795960648145</v>
      </c>
      <c r="AD227" t="s">
        <v>135</v>
      </c>
      <c r="AE227">
        <v>2</v>
      </c>
      <c r="AF227" t="s">
        <v>21</v>
      </c>
      <c r="AG227">
        <v>0</v>
      </c>
      <c r="AK227">
        <v>0</v>
      </c>
    </row>
    <row r="228" spans="1:40" x14ac:dyDescent="0.35">
      <c r="A228">
        <v>10364</v>
      </c>
      <c r="B228">
        <v>10352</v>
      </c>
      <c r="D228" t="s">
        <v>166</v>
      </c>
      <c r="E228">
        <v>9</v>
      </c>
      <c r="F228">
        <v>9</v>
      </c>
      <c r="G228" t="s">
        <v>167</v>
      </c>
      <c r="I228" t="s">
        <v>32</v>
      </c>
      <c r="J228">
        <v>1</v>
      </c>
      <c r="K228" t="s">
        <v>21</v>
      </c>
      <c r="L228" t="s">
        <v>21</v>
      </c>
      <c r="M228" t="s">
        <v>32</v>
      </c>
      <c r="N228">
        <v>1</v>
      </c>
      <c r="O228">
        <v>-1</v>
      </c>
      <c r="P228" t="s">
        <v>21</v>
      </c>
      <c r="Q228" t="s">
        <v>21</v>
      </c>
      <c r="R228">
        <v>2</v>
      </c>
      <c r="S228">
        <v>10509</v>
      </c>
      <c r="T228">
        <v>4</v>
      </c>
      <c r="U228" t="s">
        <v>168</v>
      </c>
      <c r="X228" t="s">
        <v>169</v>
      </c>
      <c r="Y228" t="s">
        <v>32</v>
      </c>
      <c r="AA228">
        <v>10461</v>
      </c>
      <c r="AB228" s="2">
        <v>45967.795972222222</v>
      </c>
      <c r="AC228" s="2">
        <v>45967.795960648145</v>
      </c>
      <c r="AD228" t="s">
        <v>135</v>
      </c>
      <c r="AE228">
        <v>2</v>
      </c>
      <c r="AF228" t="s">
        <v>21</v>
      </c>
      <c r="AG228">
        <v>0</v>
      </c>
      <c r="AK228">
        <v>0</v>
      </c>
      <c r="AN228" t="s">
        <v>435</v>
      </c>
    </row>
    <row r="229" spans="1:40" x14ac:dyDescent="0.35">
      <c r="A229">
        <v>10365</v>
      </c>
      <c r="B229">
        <v>10352</v>
      </c>
      <c r="C229" t="s">
        <v>171</v>
      </c>
      <c r="E229">
        <v>6</v>
      </c>
      <c r="F229">
        <v>6</v>
      </c>
      <c r="G229" t="s">
        <v>172</v>
      </c>
      <c r="I229" t="s">
        <v>32</v>
      </c>
      <c r="J229">
        <v>1</v>
      </c>
      <c r="K229" t="s">
        <v>21</v>
      </c>
      <c r="L229" t="s">
        <v>21</v>
      </c>
      <c r="M229" t="s">
        <v>32</v>
      </c>
      <c r="N229">
        <v>1</v>
      </c>
      <c r="O229">
        <v>-1</v>
      </c>
      <c r="P229" t="s">
        <v>21</v>
      </c>
      <c r="Q229" t="s">
        <v>21</v>
      </c>
      <c r="R229">
        <v>2</v>
      </c>
      <c r="S229">
        <v>10513</v>
      </c>
      <c r="T229">
        <v>2</v>
      </c>
      <c r="W229" t="s">
        <v>173</v>
      </c>
      <c r="X229">
        <v>0</v>
      </c>
      <c r="Y229" t="s">
        <v>32</v>
      </c>
      <c r="AA229">
        <v>10462</v>
      </c>
      <c r="AB229" s="2">
        <v>45967.795972222222</v>
      </c>
      <c r="AC229" s="2">
        <v>45967.795960648145</v>
      </c>
      <c r="AD229" s="2">
        <v>45967.795972222222</v>
      </c>
      <c r="AE229">
        <v>2</v>
      </c>
      <c r="AF229" t="s">
        <v>21</v>
      </c>
      <c r="AG229">
        <v>0</v>
      </c>
      <c r="AK229">
        <v>0</v>
      </c>
      <c r="AN229" t="s">
        <v>436</v>
      </c>
    </row>
    <row r="230" spans="1:40" x14ac:dyDescent="0.35">
      <c r="A230">
        <v>10366</v>
      </c>
      <c r="B230">
        <v>10352</v>
      </c>
      <c r="C230" t="s">
        <v>175</v>
      </c>
      <c r="E230">
        <v>6</v>
      </c>
      <c r="F230">
        <v>6</v>
      </c>
      <c r="G230" t="s">
        <v>176</v>
      </c>
      <c r="I230" t="s">
        <v>32</v>
      </c>
      <c r="J230">
        <v>1</v>
      </c>
      <c r="K230" t="s">
        <v>21</v>
      </c>
      <c r="L230" t="s">
        <v>21</v>
      </c>
      <c r="M230" t="s">
        <v>32</v>
      </c>
      <c r="N230">
        <v>1</v>
      </c>
      <c r="O230">
        <v>-1</v>
      </c>
      <c r="P230" t="s">
        <v>21</v>
      </c>
      <c r="Q230" t="s">
        <v>21</v>
      </c>
      <c r="R230">
        <v>2</v>
      </c>
      <c r="S230">
        <v>10517</v>
      </c>
      <c r="T230">
        <v>2</v>
      </c>
      <c r="W230" t="s">
        <v>177</v>
      </c>
      <c r="X230">
        <v>0</v>
      </c>
      <c r="Y230" t="s">
        <v>32</v>
      </c>
      <c r="AA230">
        <v>10463</v>
      </c>
      <c r="AB230" s="2">
        <v>45967.795972222222</v>
      </c>
      <c r="AC230" s="2">
        <v>45967.795960648145</v>
      </c>
      <c r="AD230" s="2">
        <v>45967.795972222222</v>
      </c>
      <c r="AE230">
        <v>2</v>
      </c>
      <c r="AF230" t="s">
        <v>21</v>
      </c>
      <c r="AG230">
        <v>0</v>
      </c>
      <c r="AK230">
        <v>0</v>
      </c>
      <c r="AN230" t="s">
        <v>437</v>
      </c>
    </row>
    <row r="231" spans="1:40" x14ac:dyDescent="0.35">
      <c r="A231">
        <v>10367</v>
      </c>
      <c r="B231">
        <v>10352</v>
      </c>
      <c r="C231" t="s">
        <v>179</v>
      </c>
      <c r="E231">
        <v>2</v>
      </c>
      <c r="F231">
        <v>2</v>
      </c>
      <c r="G231" t="s">
        <v>180</v>
      </c>
      <c r="I231" t="s">
        <v>32</v>
      </c>
      <c r="J231">
        <v>1</v>
      </c>
      <c r="K231" t="s">
        <v>21</v>
      </c>
      <c r="L231" t="s">
        <v>21</v>
      </c>
      <c r="M231" t="s">
        <v>32</v>
      </c>
      <c r="N231">
        <v>1</v>
      </c>
      <c r="O231">
        <v>-1</v>
      </c>
      <c r="P231" t="s">
        <v>21</v>
      </c>
      <c r="Q231" t="s">
        <v>21</v>
      </c>
      <c r="R231">
        <v>2</v>
      </c>
      <c r="S231">
        <v>10521</v>
      </c>
      <c r="T231">
        <v>2</v>
      </c>
      <c r="W231" t="s">
        <v>181</v>
      </c>
      <c r="Y231" t="s">
        <v>32</v>
      </c>
      <c r="Z231">
        <v>10366</v>
      </c>
      <c r="AA231">
        <v>10464</v>
      </c>
      <c r="AB231" s="2">
        <v>45967.795972222222</v>
      </c>
      <c r="AC231" s="2">
        <v>45967.795960648145</v>
      </c>
      <c r="AD231" s="2">
        <v>45967.795972222222</v>
      </c>
      <c r="AE231">
        <v>2</v>
      </c>
      <c r="AF231" t="s">
        <v>21</v>
      </c>
      <c r="AG231">
        <v>0</v>
      </c>
      <c r="AK231">
        <v>0</v>
      </c>
      <c r="AN231" t="s">
        <v>438</v>
      </c>
    </row>
    <row r="232" spans="1:40" x14ac:dyDescent="0.35">
      <c r="A232">
        <v>10368</v>
      </c>
      <c r="B232">
        <v>10352</v>
      </c>
      <c r="C232" t="s">
        <v>183</v>
      </c>
      <c r="E232">
        <v>6</v>
      </c>
      <c r="F232">
        <v>6</v>
      </c>
      <c r="G232" t="s">
        <v>184</v>
      </c>
      <c r="I232" t="s">
        <v>32</v>
      </c>
      <c r="J232">
        <v>1</v>
      </c>
      <c r="K232" t="s">
        <v>21</v>
      </c>
      <c r="L232" t="s">
        <v>21</v>
      </c>
      <c r="M232" t="s">
        <v>32</v>
      </c>
      <c r="N232">
        <v>1</v>
      </c>
      <c r="O232">
        <v>-1</v>
      </c>
      <c r="P232" t="s">
        <v>21</v>
      </c>
      <c r="Q232" t="s">
        <v>21</v>
      </c>
      <c r="R232">
        <v>2</v>
      </c>
      <c r="S232">
        <v>10525</v>
      </c>
      <c r="T232">
        <v>2</v>
      </c>
      <c r="W232" t="s">
        <v>185</v>
      </c>
      <c r="X232">
        <v>0</v>
      </c>
      <c r="Y232" t="s">
        <v>32</v>
      </c>
      <c r="AA232">
        <v>10465</v>
      </c>
      <c r="AB232" s="2">
        <v>45967.795972222222</v>
      </c>
      <c r="AC232" s="2">
        <v>45967.795960648145</v>
      </c>
      <c r="AD232" s="2">
        <v>45967.795972222222</v>
      </c>
      <c r="AE232">
        <v>2</v>
      </c>
      <c r="AF232" t="s">
        <v>21</v>
      </c>
      <c r="AG232">
        <v>0</v>
      </c>
      <c r="AK232">
        <v>0</v>
      </c>
      <c r="AN232" s="4" t="s">
        <v>439</v>
      </c>
    </row>
    <row r="233" spans="1:40" x14ac:dyDescent="0.35">
      <c r="A233">
        <v>10369</v>
      </c>
      <c r="B233">
        <v>10352</v>
      </c>
      <c r="C233" t="s">
        <v>187</v>
      </c>
      <c r="E233">
        <v>2</v>
      </c>
      <c r="F233">
        <v>2</v>
      </c>
      <c r="G233" t="s">
        <v>188</v>
      </c>
      <c r="I233" t="s">
        <v>32</v>
      </c>
      <c r="J233">
        <v>1</v>
      </c>
      <c r="K233" t="s">
        <v>21</v>
      </c>
      <c r="L233" t="s">
        <v>21</v>
      </c>
      <c r="M233" t="s">
        <v>32</v>
      </c>
      <c r="N233">
        <v>1</v>
      </c>
      <c r="O233">
        <v>-1</v>
      </c>
      <c r="P233" t="s">
        <v>21</v>
      </c>
      <c r="Q233" t="s">
        <v>21</v>
      </c>
      <c r="R233">
        <v>2</v>
      </c>
      <c r="S233">
        <v>10529</v>
      </c>
      <c r="T233">
        <v>2</v>
      </c>
      <c r="W233" t="s">
        <v>189</v>
      </c>
      <c r="Y233" t="s">
        <v>32</v>
      </c>
      <c r="Z233">
        <v>10368</v>
      </c>
      <c r="AA233">
        <v>10466</v>
      </c>
      <c r="AB233" s="2">
        <v>45967.795972222222</v>
      </c>
      <c r="AC233" s="2">
        <v>45967.795960648145</v>
      </c>
      <c r="AD233" s="2">
        <v>45967.795972222222</v>
      </c>
      <c r="AE233">
        <v>2</v>
      </c>
      <c r="AF233" t="s">
        <v>21</v>
      </c>
      <c r="AG233">
        <v>0</v>
      </c>
      <c r="AK233">
        <v>0</v>
      </c>
      <c r="AN233" t="s">
        <v>440</v>
      </c>
    </row>
    <row r="234" spans="1:40" x14ac:dyDescent="0.35">
      <c r="A234">
        <v>10370</v>
      </c>
      <c r="B234">
        <v>10352</v>
      </c>
      <c r="C234" t="s">
        <v>191</v>
      </c>
      <c r="E234">
        <v>6</v>
      </c>
      <c r="F234">
        <v>6</v>
      </c>
      <c r="G234" t="s">
        <v>192</v>
      </c>
      <c r="I234" t="s">
        <v>32</v>
      </c>
      <c r="J234">
        <v>1</v>
      </c>
      <c r="K234" t="s">
        <v>21</v>
      </c>
      <c r="L234" t="s">
        <v>21</v>
      </c>
      <c r="M234" t="s">
        <v>32</v>
      </c>
      <c r="N234">
        <v>1</v>
      </c>
      <c r="O234">
        <v>-1</v>
      </c>
      <c r="P234" t="s">
        <v>21</v>
      </c>
      <c r="Q234" t="s">
        <v>21</v>
      </c>
      <c r="R234">
        <v>2</v>
      </c>
      <c r="S234">
        <v>10533</v>
      </c>
      <c r="T234">
        <v>2</v>
      </c>
      <c r="W234" t="s">
        <v>193</v>
      </c>
      <c r="X234">
        <v>0</v>
      </c>
      <c r="Y234" t="s">
        <v>32</v>
      </c>
      <c r="AA234">
        <v>10467</v>
      </c>
      <c r="AB234" s="2">
        <v>45967.795972222222</v>
      </c>
      <c r="AC234" s="2">
        <v>45967.795960648145</v>
      </c>
      <c r="AD234" s="2">
        <v>45967.795972222222</v>
      </c>
      <c r="AE234">
        <v>2</v>
      </c>
      <c r="AF234" t="s">
        <v>21</v>
      </c>
      <c r="AG234">
        <v>0</v>
      </c>
      <c r="AK234">
        <v>0</v>
      </c>
      <c r="AN234" t="s">
        <v>441</v>
      </c>
    </row>
    <row r="235" spans="1:40" x14ac:dyDescent="0.35">
      <c r="A235">
        <v>10356</v>
      </c>
      <c r="B235">
        <v>10355</v>
      </c>
      <c r="C235" t="s">
        <v>134</v>
      </c>
      <c r="E235">
        <v>6</v>
      </c>
      <c r="F235">
        <v>19</v>
      </c>
      <c r="I235" t="s">
        <v>32</v>
      </c>
      <c r="J235">
        <v>1</v>
      </c>
      <c r="K235" t="s">
        <v>32</v>
      </c>
      <c r="L235" t="s">
        <v>32</v>
      </c>
      <c r="M235" t="s">
        <v>21</v>
      </c>
      <c r="N235">
        <v>1</v>
      </c>
      <c r="O235">
        <v>-1</v>
      </c>
      <c r="P235" t="s">
        <v>21</v>
      </c>
      <c r="Q235" t="s">
        <v>21</v>
      </c>
      <c r="R235">
        <v>1</v>
      </c>
      <c r="S235">
        <v>10501</v>
      </c>
      <c r="T235">
        <v>3</v>
      </c>
      <c r="Y235" t="s">
        <v>32</v>
      </c>
      <c r="AA235">
        <v>10357</v>
      </c>
      <c r="AB235" s="2">
        <v>45967.795960648145</v>
      </c>
      <c r="AC235" s="2">
        <v>45967.795960648145</v>
      </c>
      <c r="AD235" t="s">
        <v>135</v>
      </c>
      <c r="AE235">
        <v>2</v>
      </c>
      <c r="AF235" t="s">
        <v>21</v>
      </c>
      <c r="AG235">
        <v>0</v>
      </c>
      <c r="AK235">
        <v>0</v>
      </c>
    </row>
    <row r="236" spans="1:40" x14ac:dyDescent="0.35">
      <c r="A236">
        <v>10371</v>
      </c>
      <c r="B236">
        <v>10355</v>
      </c>
      <c r="D236" t="s">
        <v>166</v>
      </c>
      <c r="E236">
        <v>9</v>
      </c>
      <c r="F236">
        <v>9</v>
      </c>
      <c r="G236" t="s">
        <v>167</v>
      </c>
      <c r="I236" t="s">
        <v>32</v>
      </c>
      <c r="J236">
        <v>1</v>
      </c>
      <c r="K236" t="s">
        <v>21</v>
      </c>
      <c r="L236" t="s">
        <v>21</v>
      </c>
      <c r="M236" t="s">
        <v>32</v>
      </c>
      <c r="N236">
        <v>1</v>
      </c>
      <c r="O236">
        <v>-1</v>
      </c>
      <c r="P236" t="s">
        <v>21</v>
      </c>
      <c r="Q236" t="s">
        <v>21</v>
      </c>
      <c r="R236">
        <v>2</v>
      </c>
      <c r="S236">
        <v>10537</v>
      </c>
      <c r="T236">
        <v>4</v>
      </c>
      <c r="U236" t="s">
        <v>168</v>
      </c>
      <c r="X236" t="s">
        <v>169</v>
      </c>
      <c r="Y236" t="s">
        <v>32</v>
      </c>
      <c r="AA236">
        <v>10468</v>
      </c>
      <c r="AB236" s="2">
        <v>45967.795972222222</v>
      </c>
      <c r="AC236" s="2">
        <v>45967.795960648145</v>
      </c>
      <c r="AD236" t="s">
        <v>135</v>
      </c>
      <c r="AE236">
        <v>2</v>
      </c>
      <c r="AF236" t="s">
        <v>21</v>
      </c>
      <c r="AG236">
        <v>0</v>
      </c>
      <c r="AK236">
        <v>0</v>
      </c>
      <c r="AN236" t="s">
        <v>442</v>
      </c>
    </row>
    <row r="237" spans="1:40" x14ac:dyDescent="0.35">
      <c r="A237">
        <v>10372</v>
      </c>
      <c r="B237">
        <v>10355</v>
      </c>
      <c r="C237" t="s">
        <v>171</v>
      </c>
      <c r="E237">
        <v>6</v>
      </c>
      <c r="F237">
        <v>6</v>
      </c>
      <c r="G237" t="s">
        <v>172</v>
      </c>
      <c r="I237" t="s">
        <v>32</v>
      </c>
      <c r="J237">
        <v>1</v>
      </c>
      <c r="K237" t="s">
        <v>21</v>
      </c>
      <c r="L237" t="s">
        <v>21</v>
      </c>
      <c r="M237" t="s">
        <v>32</v>
      </c>
      <c r="N237">
        <v>1</v>
      </c>
      <c r="O237">
        <v>-1</v>
      </c>
      <c r="P237" t="s">
        <v>21</v>
      </c>
      <c r="Q237" t="s">
        <v>21</v>
      </c>
      <c r="R237">
        <v>2</v>
      </c>
      <c r="S237">
        <v>10541</v>
      </c>
      <c r="T237">
        <v>2</v>
      </c>
      <c r="W237" t="s">
        <v>173</v>
      </c>
      <c r="X237">
        <v>0</v>
      </c>
      <c r="Y237" t="s">
        <v>32</v>
      </c>
      <c r="AA237">
        <v>10469</v>
      </c>
      <c r="AB237" s="2">
        <v>45967.795972222222</v>
      </c>
      <c r="AC237" s="2">
        <v>45967.795960648145</v>
      </c>
      <c r="AD237" s="2">
        <v>45967.795972222222</v>
      </c>
      <c r="AE237">
        <v>2</v>
      </c>
      <c r="AF237" t="s">
        <v>21</v>
      </c>
      <c r="AG237">
        <v>0</v>
      </c>
      <c r="AK237">
        <v>0</v>
      </c>
      <c r="AN237" s="4" t="s">
        <v>443</v>
      </c>
    </row>
    <row r="238" spans="1:40" x14ac:dyDescent="0.35">
      <c r="A238">
        <v>10373</v>
      </c>
      <c r="B238">
        <v>10355</v>
      </c>
      <c r="C238" t="s">
        <v>175</v>
      </c>
      <c r="E238">
        <v>6</v>
      </c>
      <c r="F238">
        <v>6</v>
      </c>
      <c r="G238" t="s">
        <v>176</v>
      </c>
      <c r="I238" t="s">
        <v>32</v>
      </c>
      <c r="J238">
        <v>1</v>
      </c>
      <c r="K238" t="s">
        <v>21</v>
      </c>
      <c r="L238" t="s">
        <v>21</v>
      </c>
      <c r="M238" t="s">
        <v>32</v>
      </c>
      <c r="N238">
        <v>1</v>
      </c>
      <c r="O238">
        <v>-1</v>
      </c>
      <c r="P238" t="s">
        <v>21</v>
      </c>
      <c r="Q238" t="s">
        <v>21</v>
      </c>
      <c r="R238">
        <v>2</v>
      </c>
      <c r="S238">
        <v>10545</v>
      </c>
      <c r="T238">
        <v>2</v>
      </c>
      <c r="W238" t="s">
        <v>177</v>
      </c>
      <c r="X238">
        <v>0</v>
      </c>
      <c r="Y238" t="s">
        <v>32</v>
      </c>
      <c r="AA238">
        <v>10470</v>
      </c>
      <c r="AB238" s="2">
        <v>45967.795972222222</v>
      </c>
      <c r="AC238" s="2">
        <v>45967.795960648145</v>
      </c>
      <c r="AD238" s="2">
        <v>45967.795972222222</v>
      </c>
      <c r="AE238">
        <v>2</v>
      </c>
      <c r="AF238" t="s">
        <v>21</v>
      </c>
      <c r="AG238">
        <v>0</v>
      </c>
      <c r="AK238">
        <v>0</v>
      </c>
      <c r="AN238" t="s">
        <v>444</v>
      </c>
    </row>
    <row r="239" spans="1:40" x14ac:dyDescent="0.35">
      <c r="A239">
        <v>10374</v>
      </c>
      <c r="B239">
        <v>10355</v>
      </c>
      <c r="C239" t="s">
        <v>179</v>
      </c>
      <c r="E239">
        <v>2</v>
      </c>
      <c r="F239">
        <v>2</v>
      </c>
      <c r="G239" t="s">
        <v>180</v>
      </c>
      <c r="I239" t="s">
        <v>32</v>
      </c>
      <c r="J239">
        <v>1</v>
      </c>
      <c r="K239" t="s">
        <v>21</v>
      </c>
      <c r="L239" t="s">
        <v>21</v>
      </c>
      <c r="M239" t="s">
        <v>32</v>
      </c>
      <c r="N239">
        <v>1</v>
      </c>
      <c r="O239">
        <v>-1</v>
      </c>
      <c r="P239" t="s">
        <v>21</v>
      </c>
      <c r="Q239" t="s">
        <v>21</v>
      </c>
      <c r="R239">
        <v>2</v>
      </c>
      <c r="S239">
        <v>10549</v>
      </c>
      <c r="T239">
        <v>2</v>
      </c>
      <c r="W239" t="s">
        <v>181</v>
      </c>
      <c r="Y239" t="s">
        <v>32</v>
      </c>
      <c r="Z239">
        <v>10373</v>
      </c>
      <c r="AA239">
        <v>10471</v>
      </c>
      <c r="AB239" s="2">
        <v>45967.795972222222</v>
      </c>
      <c r="AC239" s="2">
        <v>45967.795960648145</v>
      </c>
      <c r="AD239" s="2">
        <v>45967.795972222222</v>
      </c>
      <c r="AE239">
        <v>2</v>
      </c>
      <c r="AF239" t="s">
        <v>21</v>
      </c>
      <c r="AG239">
        <v>0</v>
      </c>
      <c r="AK239">
        <v>0</v>
      </c>
      <c r="AN239" t="s">
        <v>445</v>
      </c>
    </row>
    <row r="240" spans="1:40" x14ac:dyDescent="0.35">
      <c r="A240">
        <v>10375</v>
      </c>
      <c r="B240">
        <v>10355</v>
      </c>
      <c r="C240" t="s">
        <v>183</v>
      </c>
      <c r="E240">
        <v>6</v>
      </c>
      <c r="F240">
        <v>6</v>
      </c>
      <c r="G240" t="s">
        <v>184</v>
      </c>
      <c r="I240" t="s">
        <v>32</v>
      </c>
      <c r="J240">
        <v>1</v>
      </c>
      <c r="K240" t="s">
        <v>21</v>
      </c>
      <c r="L240" t="s">
        <v>21</v>
      </c>
      <c r="M240" t="s">
        <v>32</v>
      </c>
      <c r="N240">
        <v>1</v>
      </c>
      <c r="O240">
        <v>-1</v>
      </c>
      <c r="P240" t="s">
        <v>21</v>
      </c>
      <c r="Q240" t="s">
        <v>21</v>
      </c>
      <c r="R240">
        <v>2</v>
      </c>
      <c r="S240">
        <v>10553</v>
      </c>
      <c r="T240">
        <v>2</v>
      </c>
      <c r="W240" t="s">
        <v>185</v>
      </c>
      <c r="X240">
        <v>0</v>
      </c>
      <c r="Y240" t="s">
        <v>32</v>
      </c>
      <c r="AA240">
        <v>10472</v>
      </c>
      <c r="AB240" s="2">
        <v>45967.795972222222</v>
      </c>
      <c r="AC240" s="2">
        <v>45967.795960648145</v>
      </c>
      <c r="AD240" s="2">
        <v>45967.795972222222</v>
      </c>
      <c r="AE240">
        <v>2</v>
      </c>
      <c r="AF240" t="s">
        <v>21</v>
      </c>
      <c r="AG240">
        <v>0</v>
      </c>
      <c r="AK240">
        <v>0</v>
      </c>
      <c r="AN240" t="s">
        <v>446</v>
      </c>
    </row>
    <row r="241" spans="1:40" x14ac:dyDescent="0.35">
      <c r="A241">
        <v>10376</v>
      </c>
      <c r="B241">
        <v>10355</v>
      </c>
      <c r="C241" t="s">
        <v>187</v>
      </c>
      <c r="E241">
        <v>2</v>
      </c>
      <c r="F241">
        <v>2</v>
      </c>
      <c r="G241" t="s">
        <v>188</v>
      </c>
      <c r="I241" t="s">
        <v>32</v>
      </c>
      <c r="J241">
        <v>1</v>
      </c>
      <c r="K241" t="s">
        <v>21</v>
      </c>
      <c r="L241" t="s">
        <v>21</v>
      </c>
      <c r="M241" t="s">
        <v>32</v>
      </c>
      <c r="N241">
        <v>1</v>
      </c>
      <c r="O241">
        <v>-1</v>
      </c>
      <c r="P241" t="s">
        <v>21</v>
      </c>
      <c r="Q241" t="s">
        <v>21</v>
      </c>
      <c r="R241">
        <v>2</v>
      </c>
      <c r="S241">
        <v>10557</v>
      </c>
      <c r="T241">
        <v>2</v>
      </c>
      <c r="W241" t="s">
        <v>189</v>
      </c>
      <c r="Y241" t="s">
        <v>32</v>
      </c>
      <c r="Z241">
        <v>10375</v>
      </c>
      <c r="AA241">
        <v>10473</v>
      </c>
      <c r="AB241" s="2">
        <v>45967.795972222222</v>
      </c>
      <c r="AC241" s="2">
        <v>45967.795960648145</v>
      </c>
      <c r="AD241" s="2">
        <v>45967.795972222222</v>
      </c>
      <c r="AE241">
        <v>2</v>
      </c>
      <c r="AF241" t="s">
        <v>21</v>
      </c>
      <c r="AG241">
        <v>0</v>
      </c>
      <c r="AK241">
        <v>0</v>
      </c>
      <c r="AN241" t="s">
        <v>447</v>
      </c>
    </row>
    <row r="242" spans="1:40" x14ac:dyDescent="0.35">
      <c r="A242">
        <v>10377</v>
      </c>
      <c r="B242">
        <v>10355</v>
      </c>
      <c r="C242" t="s">
        <v>191</v>
      </c>
      <c r="E242">
        <v>6</v>
      </c>
      <c r="F242">
        <v>6</v>
      </c>
      <c r="G242" t="s">
        <v>192</v>
      </c>
      <c r="I242" t="s">
        <v>32</v>
      </c>
      <c r="J242">
        <v>1</v>
      </c>
      <c r="K242" t="s">
        <v>21</v>
      </c>
      <c r="L242" t="s">
        <v>21</v>
      </c>
      <c r="M242" t="s">
        <v>32</v>
      </c>
      <c r="N242">
        <v>1</v>
      </c>
      <c r="O242">
        <v>-1</v>
      </c>
      <c r="P242" t="s">
        <v>21</v>
      </c>
      <c r="Q242" t="s">
        <v>21</v>
      </c>
      <c r="R242">
        <v>2</v>
      </c>
      <c r="S242">
        <v>10561</v>
      </c>
      <c r="T242">
        <v>2</v>
      </c>
      <c r="W242" t="s">
        <v>193</v>
      </c>
      <c r="X242">
        <v>0</v>
      </c>
      <c r="Y242" t="s">
        <v>32</v>
      </c>
      <c r="AA242">
        <v>10474</v>
      </c>
      <c r="AB242" s="2">
        <v>45967.795972222222</v>
      </c>
      <c r="AC242" s="2">
        <v>45967.795960648145</v>
      </c>
      <c r="AD242" s="2">
        <v>45967.795972222222</v>
      </c>
      <c r="AE242">
        <v>2</v>
      </c>
      <c r="AF242" t="s">
        <v>21</v>
      </c>
      <c r="AG242">
        <v>0</v>
      </c>
      <c r="AK242">
        <v>0</v>
      </c>
      <c r="AN242" t="s">
        <v>448</v>
      </c>
    </row>
    <row r="243" spans="1:40" x14ac:dyDescent="0.35">
      <c r="A243">
        <v>10359</v>
      </c>
      <c r="B243">
        <v>10358</v>
      </c>
      <c r="C243" t="s">
        <v>134</v>
      </c>
      <c r="E243">
        <v>6</v>
      </c>
      <c r="F243">
        <v>19</v>
      </c>
      <c r="I243" t="s">
        <v>32</v>
      </c>
      <c r="J243">
        <v>1</v>
      </c>
      <c r="K243" t="s">
        <v>32</v>
      </c>
      <c r="L243" t="s">
        <v>32</v>
      </c>
      <c r="M243" t="s">
        <v>21</v>
      </c>
      <c r="N243">
        <v>1</v>
      </c>
      <c r="O243">
        <v>-1</v>
      </c>
      <c r="P243" t="s">
        <v>21</v>
      </c>
      <c r="Q243" t="s">
        <v>21</v>
      </c>
      <c r="R243">
        <v>1</v>
      </c>
      <c r="S243">
        <v>10505</v>
      </c>
      <c r="T243">
        <v>3</v>
      </c>
      <c r="Y243" t="s">
        <v>32</v>
      </c>
      <c r="AA243">
        <v>10360</v>
      </c>
      <c r="AB243" s="2">
        <v>45967.795960648145</v>
      </c>
      <c r="AC243" s="2">
        <v>45967.795960648145</v>
      </c>
      <c r="AD243" t="s">
        <v>135</v>
      </c>
      <c r="AE243">
        <v>2</v>
      </c>
      <c r="AF243" t="s">
        <v>21</v>
      </c>
      <c r="AG243">
        <v>0</v>
      </c>
      <c r="AK243">
        <v>0</v>
      </c>
    </row>
    <row r="244" spans="1:40" x14ac:dyDescent="0.35">
      <c r="A244">
        <v>10378</v>
      </c>
      <c r="B244">
        <v>10358</v>
      </c>
      <c r="D244" t="s">
        <v>166</v>
      </c>
      <c r="E244">
        <v>9</v>
      </c>
      <c r="F244">
        <v>9</v>
      </c>
      <c r="G244" t="s">
        <v>167</v>
      </c>
      <c r="I244" t="s">
        <v>32</v>
      </c>
      <c r="J244">
        <v>1</v>
      </c>
      <c r="K244" t="s">
        <v>21</v>
      </c>
      <c r="L244" t="s">
        <v>21</v>
      </c>
      <c r="M244" t="s">
        <v>32</v>
      </c>
      <c r="N244">
        <v>1</v>
      </c>
      <c r="O244">
        <v>-1</v>
      </c>
      <c r="P244" t="s">
        <v>21</v>
      </c>
      <c r="Q244" t="s">
        <v>21</v>
      </c>
      <c r="R244">
        <v>2</v>
      </c>
      <c r="S244">
        <v>10565</v>
      </c>
      <c r="T244">
        <v>4</v>
      </c>
      <c r="U244" t="s">
        <v>168</v>
      </c>
      <c r="X244" t="s">
        <v>169</v>
      </c>
      <c r="Y244" t="s">
        <v>32</v>
      </c>
      <c r="AA244">
        <v>10475</v>
      </c>
      <c r="AB244" s="2">
        <v>45967.795972222222</v>
      </c>
      <c r="AC244" s="2">
        <v>45967.795960648145</v>
      </c>
      <c r="AD244" t="s">
        <v>135</v>
      </c>
      <c r="AE244">
        <v>2</v>
      </c>
      <c r="AF244" t="s">
        <v>21</v>
      </c>
      <c r="AG244">
        <v>0</v>
      </c>
      <c r="AK244">
        <v>0</v>
      </c>
      <c r="AN244" t="s">
        <v>449</v>
      </c>
    </row>
    <row r="245" spans="1:40" x14ac:dyDescent="0.35">
      <c r="A245">
        <v>10379</v>
      </c>
      <c r="B245">
        <v>10358</v>
      </c>
      <c r="C245" t="s">
        <v>171</v>
      </c>
      <c r="E245">
        <v>6</v>
      </c>
      <c r="F245">
        <v>6</v>
      </c>
      <c r="G245" t="s">
        <v>172</v>
      </c>
      <c r="I245" t="s">
        <v>32</v>
      </c>
      <c r="J245">
        <v>1</v>
      </c>
      <c r="K245" t="s">
        <v>21</v>
      </c>
      <c r="L245" t="s">
        <v>21</v>
      </c>
      <c r="M245" t="s">
        <v>32</v>
      </c>
      <c r="N245">
        <v>1</v>
      </c>
      <c r="O245">
        <v>-1</v>
      </c>
      <c r="P245" t="s">
        <v>21</v>
      </c>
      <c r="Q245" t="s">
        <v>21</v>
      </c>
      <c r="R245">
        <v>2</v>
      </c>
      <c r="S245">
        <v>10569</v>
      </c>
      <c r="T245">
        <v>2</v>
      </c>
      <c r="W245" t="s">
        <v>173</v>
      </c>
      <c r="X245">
        <v>0</v>
      </c>
      <c r="Y245" t="s">
        <v>32</v>
      </c>
      <c r="AA245">
        <v>10476</v>
      </c>
      <c r="AB245" s="2">
        <v>45967.795972222222</v>
      </c>
      <c r="AC245" s="2">
        <v>45967.795960648145</v>
      </c>
      <c r="AD245" s="2">
        <v>45967.795972222222</v>
      </c>
      <c r="AE245">
        <v>2</v>
      </c>
      <c r="AF245" t="s">
        <v>21</v>
      </c>
      <c r="AG245">
        <v>0</v>
      </c>
      <c r="AK245">
        <v>0</v>
      </c>
      <c r="AN245" t="s">
        <v>450</v>
      </c>
    </row>
    <row r="246" spans="1:40" x14ac:dyDescent="0.35">
      <c r="A246">
        <v>10380</v>
      </c>
      <c r="B246">
        <v>10358</v>
      </c>
      <c r="C246" t="s">
        <v>175</v>
      </c>
      <c r="E246">
        <v>6</v>
      </c>
      <c r="F246">
        <v>6</v>
      </c>
      <c r="G246" t="s">
        <v>176</v>
      </c>
      <c r="I246" t="s">
        <v>32</v>
      </c>
      <c r="J246">
        <v>1</v>
      </c>
      <c r="K246" t="s">
        <v>21</v>
      </c>
      <c r="L246" t="s">
        <v>21</v>
      </c>
      <c r="M246" t="s">
        <v>32</v>
      </c>
      <c r="N246">
        <v>1</v>
      </c>
      <c r="O246">
        <v>-1</v>
      </c>
      <c r="P246" t="s">
        <v>21</v>
      </c>
      <c r="Q246" t="s">
        <v>21</v>
      </c>
      <c r="R246">
        <v>2</v>
      </c>
      <c r="S246">
        <v>10573</v>
      </c>
      <c r="T246">
        <v>2</v>
      </c>
      <c r="W246" t="s">
        <v>177</v>
      </c>
      <c r="X246">
        <v>0</v>
      </c>
      <c r="Y246" t="s">
        <v>32</v>
      </c>
      <c r="AA246">
        <v>10477</v>
      </c>
      <c r="AB246" s="2">
        <v>45967.795972222222</v>
      </c>
      <c r="AC246" s="2">
        <v>45967.795960648145</v>
      </c>
      <c r="AD246" s="2">
        <v>45967.795972222222</v>
      </c>
      <c r="AE246">
        <v>2</v>
      </c>
      <c r="AF246" t="s">
        <v>21</v>
      </c>
      <c r="AG246">
        <v>0</v>
      </c>
      <c r="AK246">
        <v>0</v>
      </c>
      <c r="AN246" t="s">
        <v>451</v>
      </c>
    </row>
    <row r="247" spans="1:40" x14ac:dyDescent="0.35">
      <c r="A247">
        <v>10381</v>
      </c>
      <c r="B247">
        <v>10358</v>
      </c>
      <c r="C247" t="s">
        <v>179</v>
      </c>
      <c r="E247">
        <v>2</v>
      </c>
      <c r="F247">
        <v>2</v>
      </c>
      <c r="G247" t="s">
        <v>180</v>
      </c>
      <c r="I247" t="s">
        <v>32</v>
      </c>
      <c r="J247">
        <v>1</v>
      </c>
      <c r="K247" t="s">
        <v>21</v>
      </c>
      <c r="L247" t="s">
        <v>21</v>
      </c>
      <c r="M247" t="s">
        <v>32</v>
      </c>
      <c r="N247">
        <v>1</v>
      </c>
      <c r="O247">
        <v>-1</v>
      </c>
      <c r="P247" t="s">
        <v>21</v>
      </c>
      <c r="Q247" t="s">
        <v>21</v>
      </c>
      <c r="R247">
        <v>2</v>
      </c>
      <c r="S247">
        <v>10577</v>
      </c>
      <c r="T247">
        <v>2</v>
      </c>
      <c r="W247" t="s">
        <v>181</v>
      </c>
      <c r="Y247" t="s">
        <v>32</v>
      </c>
      <c r="Z247">
        <v>10380</v>
      </c>
      <c r="AA247">
        <v>10478</v>
      </c>
      <c r="AB247" s="2">
        <v>45967.795972222222</v>
      </c>
      <c r="AC247" s="2">
        <v>45967.795960648145</v>
      </c>
      <c r="AD247" s="2">
        <v>45967.795972222222</v>
      </c>
      <c r="AE247">
        <v>2</v>
      </c>
      <c r="AF247" t="s">
        <v>21</v>
      </c>
      <c r="AG247">
        <v>0</v>
      </c>
      <c r="AK247">
        <v>0</v>
      </c>
      <c r="AN247" t="s">
        <v>452</v>
      </c>
    </row>
    <row r="248" spans="1:40" x14ac:dyDescent="0.35">
      <c r="A248">
        <v>10382</v>
      </c>
      <c r="B248">
        <v>10358</v>
      </c>
      <c r="C248" t="s">
        <v>183</v>
      </c>
      <c r="E248">
        <v>6</v>
      </c>
      <c r="F248">
        <v>6</v>
      </c>
      <c r="G248" t="s">
        <v>184</v>
      </c>
      <c r="I248" t="s">
        <v>32</v>
      </c>
      <c r="J248">
        <v>1</v>
      </c>
      <c r="K248" t="s">
        <v>21</v>
      </c>
      <c r="L248" t="s">
        <v>21</v>
      </c>
      <c r="M248" t="s">
        <v>32</v>
      </c>
      <c r="N248">
        <v>1</v>
      </c>
      <c r="O248">
        <v>-1</v>
      </c>
      <c r="P248" t="s">
        <v>21</v>
      </c>
      <c r="Q248" t="s">
        <v>21</v>
      </c>
      <c r="R248">
        <v>2</v>
      </c>
      <c r="S248">
        <v>10581</v>
      </c>
      <c r="T248">
        <v>2</v>
      </c>
      <c r="W248" t="s">
        <v>185</v>
      </c>
      <c r="X248">
        <v>0</v>
      </c>
      <c r="Y248" t="s">
        <v>32</v>
      </c>
      <c r="AA248">
        <v>10479</v>
      </c>
      <c r="AB248" s="2">
        <v>45967.795972222222</v>
      </c>
      <c r="AC248" s="2">
        <v>45967.795960648145</v>
      </c>
      <c r="AD248" s="2">
        <v>45967.795972222222</v>
      </c>
      <c r="AE248">
        <v>2</v>
      </c>
      <c r="AF248" t="s">
        <v>21</v>
      </c>
      <c r="AG248">
        <v>0</v>
      </c>
      <c r="AK248">
        <v>0</v>
      </c>
      <c r="AN248" t="s">
        <v>453</v>
      </c>
    </row>
    <row r="249" spans="1:40" x14ac:dyDescent="0.35">
      <c r="A249">
        <v>10383</v>
      </c>
      <c r="B249">
        <v>10358</v>
      </c>
      <c r="C249" t="s">
        <v>187</v>
      </c>
      <c r="E249">
        <v>2</v>
      </c>
      <c r="F249">
        <v>2</v>
      </c>
      <c r="G249" t="s">
        <v>188</v>
      </c>
      <c r="I249" t="s">
        <v>32</v>
      </c>
      <c r="J249">
        <v>1</v>
      </c>
      <c r="K249" t="s">
        <v>21</v>
      </c>
      <c r="L249" t="s">
        <v>21</v>
      </c>
      <c r="M249" t="s">
        <v>32</v>
      </c>
      <c r="N249">
        <v>1</v>
      </c>
      <c r="O249">
        <v>-1</v>
      </c>
      <c r="P249" t="s">
        <v>21</v>
      </c>
      <c r="Q249" t="s">
        <v>21</v>
      </c>
      <c r="R249">
        <v>2</v>
      </c>
      <c r="S249">
        <v>10585</v>
      </c>
      <c r="T249">
        <v>2</v>
      </c>
      <c r="W249" t="s">
        <v>189</v>
      </c>
      <c r="Y249" t="s">
        <v>32</v>
      </c>
      <c r="Z249">
        <v>10382</v>
      </c>
      <c r="AA249">
        <v>10480</v>
      </c>
      <c r="AB249" s="2">
        <v>45967.795972222222</v>
      </c>
      <c r="AC249" s="2">
        <v>45967.795960648145</v>
      </c>
      <c r="AD249" s="2">
        <v>45967.795972222222</v>
      </c>
      <c r="AE249">
        <v>2</v>
      </c>
      <c r="AF249" t="s">
        <v>21</v>
      </c>
      <c r="AG249">
        <v>0</v>
      </c>
      <c r="AK249">
        <v>0</v>
      </c>
      <c r="AN249" t="s">
        <v>454</v>
      </c>
    </row>
    <row r="250" spans="1:40" x14ac:dyDescent="0.35">
      <c r="A250">
        <v>10384</v>
      </c>
      <c r="B250">
        <v>10358</v>
      </c>
      <c r="C250" t="s">
        <v>191</v>
      </c>
      <c r="E250">
        <v>6</v>
      </c>
      <c r="F250">
        <v>6</v>
      </c>
      <c r="G250" t="s">
        <v>192</v>
      </c>
      <c r="I250" t="s">
        <v>32</v>
      </c>
      <c r="J250">
        <v>1</v>
      </c>
      <c r="K250" t="s">
        <v>21</v>
      </c>
      <c r="L250" t="s">
        <v>21</v>
      </c>
      <c r="M250" t="s">
        <v>32</v>
      </c>
      <c r="N250">
        <v>1</v>
      </c>
      <c r="O250">
        <v>-1</v>
      </c>
      <c r="P250" t="s">
        <v>21</v>
      </c>
      <c r="Q250" t="s">
        <v>21</v>
      </c>
      <c r="R250">
        <v>2</v>
      </c>
      <c r="S250">
        <v>10589</v>
      </c>
      <c r="T250">
        <v>2</v>
      </c>
      <c r="W250" t="s">
        <v>193</v>
      </c>
      <c r="X250">
        <v>0</v>
      </c>
      <c r="Y250" t="s">
        <v>32</v>
      </c>
      <c r="AA250">
        <v>10481</v>
      </c>
      <c r="AB250" s="2">
        <v>45967.795972222222</v>
      </c>
      <c r="AC250" s="2">
        <v>45967.795960648145</v>
      </c>
      <c r="AD250" s="2">
        <v>45967.795972222222</v>
      </c>
      <c r="AE250">
        <v>2</v>
      </c>
      <c r="AF250" t="s">
        <v>21</v>
      </c>
      <c r="AG250">
        <v>0</v>
      </c>
      <c r="AK250">
        <v>0</v>
      </c>
      <c r="AN250" t="s">
        <v>455</v>
      </c>
    </row>
    <row r="251" spans="1:40" x14ac:dyDescent="0.35">
      <c r="A251">
        <v>11636</v>
      </c>
      <c r="B251">
        <v>11635</v>
      </c>
      <c r="C251" t="s">
        <v>134</v>
      </c>
      <c r="E251">
        <v>6</v>
      </c>
      <c r="F251">
        <v>19</v>
      </c>
      <c r="I251" t="s">
        <v>32</v>
      </c>
      <c r="J251">
        <v>1</v>
      </c>
      <c r="K251" t="s">
        <v>32</v>
      </c>
      <c r="L251" t="s">
        <v>32</v>
      </c>
      <c r="M251" t="s">
        <v>21</v>
      </c>
      <c r="N251">
        <v>1</v>
      </c>
      <c r="O251">
        <v>-1</v>
      </c>
      <c r="P251" t="s">
        <v>21</v>
      </c>
      <c r="Q251" t="s">
        <v>21</v>
      </c>
      <c r="R251">
        <v>1</v>
      </c>
      <c r="S251">
        <v>11781</v>
      </c>
      <c r="T251">
        <v>3</v>
      </c>
      <c r="Y251" t="s">
        <v>32</v>
      </c>
      <c r="AA251">
        <v>11637</v>
      </c>
      <c r="AB251" s="2">
        <v>45967.869895833333</v>
      </c>
      <c r="AC251" s="2">
        <v>45967.869895833333</v>
      </c>
      <c r="AD251" t="s">
        <v>135</v>
      </c>
      <c r="AE251">
        <v>0</v>
      </c>
      <c r="AF251" t="s">
        <v>21</v>
      </c>
      <c r="AG251">
        <v>0</v>
      </c>
      <c r="AK251">
        <v>0</v>
      </c>
    </row>
    <row r="252" spans="1:40" x14ac:dyDescent="0.35">
      <c r="A252">
        <v>11649</v>
      </c>
      <c r="B252">
        <v>11635</v>
      </c>
      <c r="C252" t="s">
        <v>312</v>
      </c>
      <c r="E252">
        <v>6</v>
      </c>
      <c r="F252">
        <v>19</v>
      </c>
      <c r="I252" t="s">
        <v>21</v>
      </c>
      <c r="J252">
        <v>1</v>
      </c>
      <c r="K252" t="s">
        <v>21</v>
      </c>
      <c r="L252" t="s">
        <v>21</v>
      </c>
      <c r="M252" t="s">
        <v>32</v>
      </c>
      <c r="N252">
        <v>1</v>
      </c>
      <c r="O252">
        <v>-1</v>
      </c>
      <c r="P252" t="s">
        <v>21</v>
      </c>
      <c r="Q252" t="s">
        <v>21</v>
      </c>
      <c r="R252">
        <v>2</v>
      </c>
      <c r="S252">
        <v>11797</v>
      </c>
      <c r="T252">
        <v>1</v>
      </c>
      <c r="U252" t="s">
        <v>312</v>
      </c>
      <c r="X252">
        <v>0</v>
      </c>
      <c r="Y252" t="s">
        <v>32</v>
      </c>
      <c r="AA252">
        <v>11736</v>
      </c>
      <c r="AB252" s="2">
        <v>45967.873611111114</v>
      </c>
      <c r="AC252" s="2">
        <v>45967.869895833333</v>
      </c>
      <c r="AD252" t="s">
        <v>135</v>
      </c>
      <c r="AE252">
        <v>0</v>
      </c>
      <c r="AF252" t="s">
        <v>21</v>
      </c>
      <c r="AG252">
        <v>0</v>
      </c>
      <c r="AK252">
        <v>0</v>
      </c>
      <c r="AN252" t="s">
        <v>456</v>
      </c>
    </row>
    <row r="253" spans="1:40" x14ac:dyDescent="0.35">
      <c r="A253">
        <v>11650</v>
      </c>
      <c r="B253">
        <v>11635</v>
      </c>
      <c r="C253" t="s">
        <v>457</v>
      </c>
      <c r="E253">
        <v>2</v>
      </c>
      <c r="F253">
        <v>19</v>
      </c>
      <c r="I253" t="s">
        <v>21</v>
      </c>
      <c r="J253">
        <v>1</v>
      </c>
      <c r="K253" t="s">
        <v>21</v>
      </c>
      <c r="L253" t="s">
        <v>21</v>
      </c>
      <c r="M253" t="s">
        <v>32</v>
      </c>
      <c r="N253">
        <v>1</v>
      </c>
      <c r="O253">
        <v>-1</v>
      </c>
      <c r="P253" t="s">
        <v>21</v>
      </c>
      <c r="Q253" t="s">
        <v>21</v>
      </c>
      <c r="R253">
        <v>2</v>
      </c>
      <c r="S253">
        <v>11801</v>
      </c>
      <c r="T253">
        <v>1</v>
      </c>
      <c r="U253" t="s">
        <v>457</v>
      </c>
      <c r="Y253" t="s">
        <v>32</v>
      </c>
      <c r="AA253">
        <v>11737</v>
      </c>
      <c r="AB253" s="2">
        <v>45967.869895833333</v>
      </c>
      <c r="AC253" s="2">
        <v>45967.869895833333</v>
      </c>
      <c r="AD253" t="s">
        <v>135</v>
      </c>
      <c r="AE253">
        <v>0</v>
      </c>
      <c r="AF253" t="s">
        <v>21</v>
      </c>
      <c r="AG253">
        <v>0</v>
      </c>
      <c r="AK253">
        <v>0</v>
      </c>
      <c r="AN253" t="s">
        <v>458</v>
      </c>
    </row>
    <row r="254" spans="1:40" x14ac:dyDescent="0.35">
      <c r="A254">
        <v>11651</v>
      </c>
      <c r="B254">
        <v>11635</v>
      </c>
      <c r="C254" t="s">
        <v>459</v>
      </c>
      <c r="E254">
        <v>2</v>
      </c>
      <c r="F254">
        <v>19</v>
      </c>
      <c r="I254" t="s">
        <v>21</v>
      </c>
      <c r="J254">
        <v>1</v>
      </c>
      <c r="K254" t="s">
        <v>21</v>
      </c>
      <c r="L254" t="s">
        <v>21</v>
      </c>
      <c r="M254" t="s">
        <v>32</v>
      </c>
      <c r="N254">
        <v>1</v>
      </c>
      <c r="O254">
        <v>-1</v>
      </c>
      <c r="P254" t="s">
        <v>21</v>
      </c>
      <c r="Q254" t="s">
        <v>21</v>
      </c>
      <c r="R254">
        <v>2</v>
      </c>
      <c r="S254">
        <v>11805</v>
      </c>
      <c r="T254">
        <v>1</v>
      </c>
      <c r="U254" t="s">
        <v>459</v>
      </c>
      <c r="Y254" t="s">
        <v>32</v>
      </c>
      <c r="AA254">
        <v>11738</v>
      </c>
      <c r="AB254" s="2">
        <v>45967.869895833333</v>
      </c>
      <c r="AC254" s="2">
        <v>45967.869895833333</v>
      </c>
      <c r="AD254" t="s">
        <v>135</v>
      </c>
      <c r="AE254">
        <v>0</v>
      </c>
      <c r="AF254" t="s">
        <v>21</v>
      </c>
      <c r="AG254">
        <v>0</v>
      </c>
      <c r="AK254">
        <v>0</v>
      </c>
      <c r="AN254" t="s">
        <v>460</v>
      </c>
    </row>
    <row r="255" spans="1:40" x14ac:dyDescent="0.35">
      <c r="A255">
        <v>11652</v>
      </c>
      <c r="B255">
        <v>11635</v>
      </c>
      <c r="C255" t="s">
        <v>314</v>
      </c>
      <c r="E255">
        <v>9</v>
      </c>
      <c r="F255">
        <v>19</v>
      </c>
      <c r="I255" t="s">
        <v>21</v>
      </c>
      <c r="J255">
        <v>1</v>
      </c>
      <c r="K255" t="s">
        <v>21</v>
      </c>
      <c r="L255" t="s">
        <v>21</v>
      </c>
      <c r="M255" t="s">
        <v>32</v>
      </c>
      <c r="N255">
        <v>1</v>
      </c>
      <c r="O255">
        <v>-1</v>
      </c>
      <c r="P255" t="s">
        <v>21</v>
      </c>
      <c r="Q255" t="s">
        <v>21</v>
      </c>
      <c r="R255">
        <v>2</v>
      </c>
      <c r="S255">
        <v>11809</v>
      </c>
      <c r="T255">
        <v>1</v>
      </c>
      <c r="U255" t="s">
        <v>314</v>
      </c>
      <c r="X255" t="s">
        <v>160</v>
      </c>
      <c r="Y255" t="s">
        <v>32</v>
      </c>
      <c r="AA255">
        <v>11739</v>
      </c>
      <c r="AB255" s="2">
        <v>45967.869895833333</v>
      </c>
      <c r="AC255" s="2">
        <v>45967.872569444444</v>
      </c>
      <c r="AD255" t="s">
        <v>135</v>
      </c>
      <c r="AE255">
        <v>0</v>
      </c>
      <c r="AF255" t="s">
        <v>21</v>
      </c>
      <c r="AG255">
        <v>0</v>
      </c>
      <c r="AK255">
        <v>0</v>
      </c>
      <c r="AN255" t="s">
        <v>461</v>
      </c>
    </row>
    <row r="256" spans="1:40" x14ac:dyDescent="0.35">
      <c r="A256">
        <v>11660</v>
      </c>
      <c r="B256">
        <v>11635</v>
      </c>
      <c r="C256" t="s">
        <v>147</v>
      </c>
      <c r="E256">
        <v>6</v>
      </c>
      <c r="F256">
        <v>19</v>
      </c>
      <c r="I256" t="s">
        <v>21</v>
      </c>
      <c r="J256">
        <v>1</v>
      </c>
      <c r="K256" t="s">
        <v>21</v>
      </c>
      <c r="L256" t="s">
        <v>21</v>
      </c>
      <c r="M256" t="s">
        <v>32</v>
      </c>
      <c r="N256">
        <v>1</v>
      </c>
      <c r="O256">
        <v>-1</v>
      </c>
      <c r="P256" t="s">
        <v>21</v>
      </c>
      <c r="Q256" t="s">
        <v>21</v>
      </c>
      <c r="R256">
        <v>3</v>
      </c>
      <c r="S256">
        <v>11841</v>
      </c>
      <c r="T256">
        <v>1</v>
      </c>
      <c r="U256" t="s">
        <v>147</v>
      </c>
      <c r="X256">
        <v>0</v>
      </c>
      <c r="Y256" t="s">
        <v>32</v>
      </c>
      <c r="AA256">
        <v>11747</v>
      </c>
      <c r="AB256" s="2">
        <v>45967.869895833333</v>
      </c>
      <c r="AC256" s="2">
        <v>45967.869895833333</v>
      </c>
      <c r="AD256" t="s">
        <v>135</v>
      </c>
      <c r="AE256">
        <v>0</v>
      </c>
      <c r="AF256" t="s">
        <v>21</v>
      </c>
      <c r="AG256">
        <v>0</v>
      </c>
      <c r="AK256">
        <v>0</v>
      </c>
      <c r="AN256" t="s">
        <v>462</v>
      </c>
    </row>
    <row r="257" spans="1:40" x14ac:dyDescent="0.35">
      <c r="A257">
        <v>11642</v>
      </c>
      <c r="B257">
        <v>11641</v>
      </c>
      <c r="C257" t="s">
        <v>134</v>
      </c>
      <c r="E257">
        <v>6</v>
      </c>
      <c r="F257">
        <v>19</v>
      </c>
      <c r="I257" t="s">
        <v>32</v>
      </c>
      <c r="J257">
        <v>1</v>
      </c>
      <c r="K257" t="s">
        <v>32</v>
      </c>
      <c r="L257" t="s">
        <v>32</v>
      </c>
      <c r="M257" t="s">
        <v>21</v>
      </c>
      <c r="N257">
        <v>1</v>
      </c>
      <c r="O257">
        <v>-1</v>
      </c>
      <c r="P257" t="s">
        <v>21</v>
      </c>
      <c r="Q257" t="s">
        <v>21</v>
      </c>
      <c r="R257">
        <v>1</v>
      </c>
      <c r="S257">
        <v>11789</v>
      </c>
      <c r="T257">
        <v>3</v>
      </c>
      <c r="Y257" t="s">
        <v>32</v>
      </c>
      <c r="AA257">
        <v>11643</v>
      </c>
      <c r="AB257" s="2">
        <v>45967.869895833333</v>
      </c>
      <c r="AC257" s="2">
        <v>45967.869895833333</v>
      </c>
      <c r="AD257" t="s">
        <v>135</v>
      </c>
      <c r="AE257">
        <v>0</v>
      </c>
      <c r="AF257" t="s">
        <v>21</v>
      </c>
      <c r="AG257">
        <v>0</v>
      </c>
      <c r="AK257">
        <v>0</v>
      </c>
    </row>
    <row r="258" spans="1:40" x14ac:dyDescent="0.35">
      <c r="A258">
        <v>11661</v>
      </c>
      <c r="B258">
        <v>11641</v>
      </c>
      <c r="C258" t="s">
        <v>312</v>
      </c>
      <c r="E258">
        <v>6</v>
      </c>
      <c r="F258">
        <v>19</v>
      </c>
      <c r="I258" t="s">
        <v>21</v>
      </c>
      <c r="J258">
        <v>1</v>
      </c>
      <c r="K258" t="s">
        <v>21</v>
      </c>
      <c r="L258" t="s">
        <v>21</v>
      </c>
      <c r="M258" t="s">
        <v>32</v>
      </c>
      <c r="N258">
        <v>1</v>
      </c>
      <c r="O258">
        <v>-1</v>
      </c>
      <c r="P258" t="s">
        <v>21</v>
      </c>
      <c r="Q258" t="s">
        <v>21</v>
      </c>
      <c r="R258">
        <v>2</v>
      </c>
      <c r="S258">
        <v>11845</v>
      </c>
      <c r="T258">
        <v>1</v>
      </c>
      <c r="U258" t="s">
        <v>312</v>
      </c>
      <c r="X258">
        <v>0</v>
      </c>
      <c r="Y258" t="s">
        <v>32</v>
      </c>
      <c r="AA258">
        <v>11748</v>
      </c>
      <c r="AB258" s="2">
        <v>45967.873854166668</v>
      </c>
      <c r="AC258" s="2">
        <v>45967.869895833333</v>
      </c>
      <c r="AD258" t="s">
        <v>135</v>
      </c>
      <c r="AE258">
        <v>0</v>
      </c>
      <c r="AF258" t="s">
        <v>21</v>
      </c>
      <c r="AG258">
        <v>0</v>
      </c>
      <c r="AK258">
        <v>0</v>
      </c>
      <c r="AN258" t="s">
        <v>463</v>
      </c>
    </row>
    <row r="259" spans="1:40" x14ac:dyDescent="0.35">
      <c r="A259">
        <v>11662</v>
      </c>
      <c r="B259">
        <v>11641</v>
      </c>
      <c r="C259" t="s">
        <v>464</v>
      </c>
      <c r="E259">
        <v>9</v>
      </c>
      <c r="F259">
        <v>19</v>
      </c>
      <c r="I259" t="s">
        <v>21</v>
      </c>
      <c r="J259">
        <v>1</v>
      </c>
      <c r="K259" t="s">
        <v>21</v>
      </c>
      <c r="L259" t="s">
        <v>21</v>
      </c>
      <c r="M259" t="s">
        <v>32</v>
      </c>
      <c r="N259">
        <v>1</v>
      </c>
      <c r="O259">
        <v>-1</v>
      </c>
      <c r="P259" t="s">
        <v>21</v>
      </c>
      <c r="Q259" t="s">
        <v>21</v>
      </c>
      <c r="R259">
        <v>2</v>
      </c>
      <c r="S259">
        <v>11849</v>
      </c>
      <c r="T259">
        <v>1</v>
      </c>
      <c r="U259" t="s">
        <v>464</v>
      </c>
      <c r="X259" t="s">
        <v>160</v>
      </c>
      <c r="Y259" t="s">
        <v>32</v>
      </c>
      <c r="AA259">
        <v>11749</v>
      </c>
      <c r="AB259" s="2">
        <v>45967.869895833333</v>
      </c>
      <c r="AC259" s="2">
        <v>45967.872418981482</v>
      </c>
      <c r="AD259" t="s">
        <v>135</v>
      </c>
      <c r="AE259">
        <v>0</v>
      </c>
      <c r="AF259" t="s">
        <v>21</v>
      </c>
      <c r="AG259">
        <v>0</v>
      </c>
      <c r="AK259">
        <v>0</v>
      </c>
      <c r="AN259" t="s">
        <v>465</v>
      </c>
    </row>
    <row r="260" spans="1:40" x14ac:dyDescent="0.35">
      <c r="A260">
        <v>11670</v>
      </c>
      <c r="B260">
        <v>11641</v>
      </c>
      <c r="C260" t="s">
        <v>320</v>
      </c>
      <c r="E260">
        <v>8</v>
      </c>
      <c r="F260">
        <v>19</v>
      </c>
      <c r="I260" t="s">
        <v>21</v>
      </c>
      <c r="J260">
        <v>1</v>
      </c>
      <c r="K260" t="s">
        <v>21</v>
      </c>
      <c r="L260" t="s">
        <v>21</v>
      </c>
      <c r="M260" t="s">
        <v>32</v>
      </c>
      <c r="N260">
        <v>1</v>
      </c>
      <c r="O260">
        <v>-1</v>
      </c>
      <c r="P260" t="s">
        <v>21</v>
      </c>
      <c r="Q260" t="s">
        <v>21</v>
      </c>
      <c r="R260">
        <v>3</v>
      </c>
      <c r="S260">
        <v>11881</v>
      </c>
      <c r="T260">
        <v>1</v>
      </c>
      <c r="U260" t="s">
        <v>320</v>
      </c>
      <c r="Y260" t="s">
        <v>32</v>
      </c>
      <c r="AA260">
        <v>11757</v>
      </c>
      <c r="AB260" s="2">
        <v>45967.869895833333</v>
      </c>
      <c r="AC260" s="2">
        <v>45967.869895833333</v>
      </c>
      <c r="AD260" t="s">
        <v>135</v>
      </c>
      <c r="AE260">
        <v>0</v>
      </c>
      <c r="AF260" t="s">
        <v>21</v>
      </c>
      <c r="AG260">
        <v>0</v>
      </c>
      <c r="AK260">
        <v>0</v>
      </c>
      <c r="AN260" t="s">
        <v>466</v>
      </c>
    </row>
    <row r="261" spans="1:40" x14ac:dyDescent="0.35">
      <c r="A261">
        <v>11671</v>
      </c>
      <c r="B261">
        <v>11641</v>
      </c>
      <c r="C261" t="s">
        <v>467</v>
      </c>
      <c r="E261">
        <v>6</v>
      </c>
      <c r="F261">
        <v>19</v>
      </c>
      <c r="I261" t="s">
        <v>21</v>
      </c>
      <c r="J261">
        <v>1</v>
      </c>
      <c r="K261" t="s">
        <v>21</v>
      </c>
      <c r="L261" t="s">
        <v>21</v>
      </c>
      <c r="M261" t="s">
        <v>32</v>
      </c>
      <c r="N261">
        <v>1</v>
      </c>
      <c r="O261">
        <v>-1</v>
      </c>
      <c r="P261" t="s">
        <v>21</v>
      </c>
      <c r="Q261" t="s">
        <v>21</v>
      </c>
      <c r="R261">
        <v>3</v>
      </c>
      <c r="S261">
        <v>11885</v>
      </c>
      <c r="T261">
        <v>1</v>
      </c>
      <c r="U261" t="s">
        <v>467</v>
      </c>
      <c r="X261">
        <v>0</v>
      </c>
      <c r="Y261" t="s">
        <v>32</v>
      </c>
      <c r="AA261">
        <v>11758</v>
      </c>
      <c r="AB261" s="2">
        <v>45967.869895833333</v>
      </c>
      <c r="AC261" s="2">
        <v>45967.869895833333</v>
      </c>
      <c r="AD261" t="s">
        <v>135</v>
      </c>
      <c r="AE261">
        <v>0</v>
      </c>
      <c r="AF261" t="s">
        <v>21</v>
      </c>
      <c r="AG261">
        <v>0</v>
      </c>
      <c r="AK261">
        <v>0</v>
      </c>
      <c r="AN261" t="s">
        <v>468</v>
      </c>
    </row>
    <row r="262" spans="1:40" x14ac:dyDescent="0.35">
      <c r="A262">
        <v>11672</v>
      </c>
      <c r="B262">
        <v>11641</v>
      </c>
      <c r="C262" t="s">
        <v>138</v>
      </c>
      <c r="E262">
        <v>2</v>
      </c>
      <c r="F262">
        <v>19</v>
      </c>
      <c r="I262" t="s">
        <v>21</v>
      </c>
      <c r="J262">
        <v>1</v>
      </c>
      <c r="K262" t="s">
        <v>21</v>
      </c>
      <c r="L262" t="s">
        <v>21</v>
      </c>
      <c r="M262" t="s">
        <v>32</v>
      </c>
      <c r="N262">
        <v>1</v>
      </c>
      <c r="O262">
        <v>-1</v>
      </c>
      <c r="P262" t="s">
        <v>21</v>
      </c>
      <c r="Q262" t="s">
        <v>21</v>
      </c>
      <c r="R262">
        <v>2</v>
      </c>
      <c r="S262">
        <v>11889</v>
      </c>
      <c r="T262">
        <v>1</v>
      </c>
      <c r="U262" t="s">
        <v>138</v>
      </c>
      <c r="Y262" t="s">
        <v>32</v>
      </c>
      <c r="AA262">
        <v>11759</v>
      </c>
      <c r="AB262" s="2">
        <v>45967.869895833333</v>
      </c>
      <c r="AC262" s="2">
        <v>45967.869895833333</v>
      </c>
      <c r="AD262" t="s">
        <v>135</v>
      </c>
      <c r="AE262">
        <v>0</v>
      </c>
      <c r="AF262" t="s">
        <v>21</v>
      </c>
      <c r="AG262">
        <v>0</v>
      </c>
      <c r="AK262">
        <v>0</v>
      </c>
      <c r="AN262" t="s">
        <v>469</v>
      </c>
    </row>
    <row r="263" spans="1:40" x14ac:dyDescent="0.35">
      <c r="A263">
        <v>11673</v>
      </c>
      <c r="B263">
        <v>11641</v>
      </c>
      <c r="C263" t="s">
        <v>470</v>
      </c>
      <c r="E263">
        <v>6</v>
      </c>
      <c r="F263">
        <v>19</v>
      </c>
      <c r="I263" t="s">
        <v>21</v>
      </c>
      <c r="J263">
        <v>1</v>
      </c>
      <c r="K263" t="s">
        <v>21</v>
      </c>
      <c r="L263" t="s">
        <v>21</v>
      </c>
      <c r="M263" t="s">
        <v>32</v>
      </c>
      <c r="N263">
        <v>1</v>
      </c>
      <c r="O263">
        <v>-1</v>
      </c>
      <c r="P263" t="s">
        <v>21</v>
      </c>
      <c r="Q263" t="s">
        <v>21</v>
      </c>
      <c r="R263">
        <v>3</v>
      </c>
      <c r="S263">
        <v>11893</v>
      </c>
      <c r="T263">
        <v>1</v>
      </c>
      <c r="U263" t="s">
        <v>470</v>
      </c>
      <c r="X263">
        <v>0</v>
      </c>
      <c r="Y263" t="s">
        <v>32</v>
      </c>
      <c r="AA263">
        <v>11760</v>
      </c>
      <c r="AB263" s="2">
        <v>45967.869895833333</v>
      </c>
      <c r="AC263" s="2">
        <v>45967.869895833333</v>
      </c>
      <c r="AD263" t="s">
        <v>135</v>
      </c>
      <c r="AE263">
        <v>0</v>
      </c>
      <c r="AF263" t="s">
        <v>21</v>
      </c>
      <c r="AG263">
        <v>0</v>
      </c>
      <c r="AK263">
        <v>0</v>
      </c>
      <c r="AN263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68EF-B370-4168-B17C-2884F1F389FA}">
  <dimension ref="A1:AB43"/>
  <sheetViews>
    <sheetView workbookViewId="0">
      <selection activeCell="G2" sqref="G2"/>
    </sheetView>
  </sheetViews>
  <sheetFormatPr baseColWidth="10" defaultRowHeight="14.5" x14ac:dyDescent="0.35"/>
  <cols>
    <col min="11" max="11" width="36.26953125" bestFit="1" customWidth="1"/>
    <col min="13" max="13" width="22.36328125" bestFit="1" customWidth="1"/>
    <col min="17" max="17" width="49.36328125" bestFit="1" customWidth="1"/>
    <col min="20" max="20" width="14.453125" bestFit="1" customWidth="1"/>
    <col min="22" max="22" width="12.36328125" bestFit="1" customWidth="1"/>
    <col min="26" max="26" width="15" bestFit="1" customWidth="1"/>
    <col min="27" max="27" width="15.6328125" bestFit="1" customWidth="1"/>
    <col min="28" max="28" width="24.269531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472</v>
      </c>
      <c r="E1" t="s">
        <v>117</v>
      </c>
      <c r="F1" t="s">
        <v>473</v>
      </c>
      <c r="H1" t="s">
        <v>474</v>
      </c>
      <c r="I1" t="s">
        <v>475</v>
      </c>
      <c r="J1" s="5" t="s">
        <v>476</v>
      </c>
      <c r="K1" s="5"/>
      <c r="L1" s="5" t="s">
        <v>477</v>
      </c>
      <c r="M1" s="5"/>
      <c r="N1" t="s">
        <v>478</v>
      </c>
      <c r="P1" s="5" t="s">
        <v>479</v>
      </c>
      <c r="Q1" s="5"/>
      <c r="R1" s="5" t="s">
        <v>480</v>
      </c>
      <c r="S1" s="5"/>
      <c r="T1" t="s">
        <v>481</v>
      </c>
      <c r="V1" t="s">
        <v>527</v>
      </c>
      <c r="W1" t="s">
        <v>107</v>
      </c>
      <c r="X1" t="s">
        <v>482</v>
      </c>
      <c r="Y1" t="s">
        <v>483</v>
      </c>
      <c r="Z1" t="s">
        <v>7</v>
      </c>
      <c r="AA1" t="s">
        <v>125</v>
      </c>
      <c r="AB1" t="s">
        <v>484</v>
      </c>
    </row>
    <row r="2" spans="1:28" x14ac:dyDescent="0.35">
      <c r="A2">
        <v>421</v>
      </c>
      <c r="B2">
        <v>1</v>
      </c>
      <c r="C2" t="s">
        <v>485</v>
      </c>
      <c r="D2" t="s">
        <v>32</v>
      </c>
      <c r="E2">
        <v>1</v>
      </c>
      <c r="F2">
        <v>1</v>
      </c>
      <c r="G2" t="str">
        <f>IF(F2=1,"Single", "Both")</f>
        <v>Single</v>
      </c>
      <c r="H2">
        <v>2</v>
      </c>
      <c r="I2" t="s">
        <v>21</v>
      </c>
      <c r="J2">
        <v>391</v>
      </c>
      <c r="K2" t="str">
        <f>_xlfn.XLOOKUP(J2,tables!A:A,tables!C:C)</f>
        <v>dim_id_deuda</v>
      </c>
      <c r="L2">
        <v>427</v>
      </c>
      <c r="M2" t="str">
        <f>_xlfn.XLOOKUP(L2,columns!A:A,columns!C:C)</f>
        <v>fecha_inicio</v>
      </c>
      <c r="N2">
        <v>2</v>
      </c>
      <c r="O2" t="str">
        <f>IF(N2=2,"Many","One")</f>
        <v>Many</v>
      </c>
      <c r="P2">
        <v>397</v>
      </c>
      <c r="Q2" t="str">
        <f>_xlfn.XLOOKUP(P2,tables!A:A,tables!C:C)</f>
        <v>LocalDateTable_ef602d59-38b0-46f4-9cc4-31ba5890f364</v>
      </c>
      <c r="R2">
        <v>435</v>
      </c>
      <c r="S2">
        <f>_xlfn.XLOOKUP(R2,columns!A:A,columns!C:C)</f>
        <v>0</v>
      </c>
      <c r="T2">
        <v>1</v>
      </c>
      <c r="U2" t="str">
        <f>IF(T2=2,"Many","One")</f>
        <v>One</v>
      </c>
      <c r="V2" t="str">
        <f>O2 &amp;"-to-"&amp;U2</f>
        <v>Many-to-One</v>
      </c>
      <c r="W2">
        <v>1</v>
      </c>
      <c r="X2">
        <v>943</v>
      </c>
      <c r="Z2" s="2">
        <v>45967.769560185188</v>
      </c>
      <c r="AA2" s="2">
        <v>45967.769560185188</v>
      </c>
      <c r="AB2">
        <v>1</v>
      </c>
    </row>
    <row r="3" spans="1:28" x14ac:dyDescent="0.35">
      <c r="A3">
        <v>422</v>
      </c>
      <c r="B3">
        <v>1</v>
      </c>
      <c r="C3" t="s">
        <v>486</v>
      </c>
      <c r="D3" t="s">
        <v>32</v>
      </c>
      <c r="E3">
        <v>1</v>
      </c>
      <c r="F3">
        <v>1</v>
      </c>
      <c r="G3" t="str">
        <f t="shared" ref="G3:G43" si="0">IF(F3=1,"Single", "Both")</f>
        <v>Single</v>
      </c>
      <c r="H3">
        <v>2</v>
      </c>
      <c r="I3" t="s">
        <v>21</v>
      </c>
      <c r="J3">
        <v>406</v>
      </c>
      <c r="K3" t="str">
        <f>_xlfn.XLOOKUP(J3,tables!A:A,tables!C:C)</f>
        <v>dim_viajes_grupo</v>
      </c>
      <c r="L3">
        <v>452</v>
      </c>
      <c r="M3" t="str">
        <f>_xlfn.XLOOKUP(L3,columns!A:A,columns!C:C)</f>
        <v>primera_fecha</v>
      </c>
      <c r="N3">
        <v>2</v>
      </c>
      <c r="O3" t="str">
        <f t="shared" ref="O3:O43" si="1">IF(N3=2,"Many","One")</f>
        <v>Many</v>
      </c>
      <c r="P3">
        <v>409</v>
      </c>
      <c r="Q3" t="str">
        <f>_xlfn.XLOOKUP(P3,tables!A:A,tables!C:C)</f>
        <v>LocalDateTable_7f7f7798-1c2e-4e75-a67e-974f6820ca60</v>
      </c>
      <c r="R3">
        <v>453</v>
      </c>
      <c r="S3">
        <f>_xlfn.XLOOKUP(R3,columns!A:A,columns!C:C)</f>
        <v>0</v>
      </c>
      <c r="T3">
        <v>1</v>
      </c>
      <c r="U3" t="str">
        <f t="shared" ref="U3:U43" si="2">IF(T3=2,"Many","One")</f>
        <v>One</v>
      </c>
      <c r="V3" t="str">
        <f t="shared" ref="V3:V43" si="3">O3 &amp;"-to-"&amp;U3</f>
        <v>Many-to-One</v>
      </c>
      <c r="W3">
        <v>1</v>
      </c>
      <c r="X3">
        <v>945</v>
      </c>
      <c r="Z3" s="2">
        <v>45967.769560185188</v>
      </c>
      <c r="AA3" s="2">
        <v>45967.769560185188</v>
      </c>
      <c r="AB3">
        <v>1</v>
      </c>
    </row>
    <row r="4" spans="1:28" x14ac:dyDescent="0.35">
      <c r="A4">
        <v>423</v>
      </c>
      <c r="B4">
        <v>1</v>
      </c>
      <c r="C4" t="s">
        <v>487</v>
      </c>
      <c r="D4" t="s">
        <v>32</v>
      </c>
      <c r="E4">
        <v>1</v>
      </c>
      <c r="F4">
        <v>1</v>
      </c>
      <c r="G4" t="str">
        <f t="shared" si="0"/>
        <v>Single</v>
      </c>
      <c r="H4">
        <v>2</v>
      </c>
      <c r="I4" t="s">
        <v>21</v>
      </c>
      <c r="J4">
        <v>406</v>
      </c>
      <c r="K4" t="str">
        <f>_xlfn.XLOOKUP(J4,tables!A:A,tables!C:C)</f>
        <v>dim_viajes_grupo</v>
      </c>
      <c r="L4">
        <v>460</v>
      </c>
      <c r="M4" t="str">
        <f>_xlfn.XLOOKUP(L4,columns!A:A,columns!C:C)</f>
        <v>ultima_fecha</v>
      </c>
      <c r="N4">
        <v>2</v>
      </c>
      <c r="O4" t="str">
        <f t="shared" si="1"/>
        <v>Many</v>
      </c>
      <c r="P4">
        <v>412</v>
      </c>
      <c r="Q4" t="str">
        <f>_xlfn.XLOOKUP(P4,tables!A:A,tables!C:C)</f>
        <v>LocalDateTable_7bedd17d-64fe-4231-9ee4-b6a2cba9c4fe</v>
      </c>
      <c r="R4">
        <v>461</v>
      </c>
      <c r="S4">
        <f>_xlfn.XLOOKUP(R4,columns!A:A,columns!C:C)</f>
        <v>0</v>
      </c>
      <c r="T4">
        <v>1</v>
      </c>
      <c r="U4" t="str">
        <f t="shared" si="2"/>
        <v>One</v>
      </c>
      <c r="V4" t="str">
        <f t="shared" si="3"/>
        <v>Many-to-One</v>
      </c>
      <c r="W4">
        <v>1</v>
      </c>
      <c r="X4">
        <v>947</v>
      </c>
      <c r="Z4" s="2">
        <v>45967.769560185188</v>
      </c>
      <c r="AA4" s="2">
        <v>45967.769560185188</v>
      </c>
      <c r="AB4">
        <v>1</v>
      </c>
    </row>
    <row r="5" spans="1:28" x14ac:dyDescent="0.35">
      <c r="A5">
        <v>3819</v>
      </c>
      <c r="B5">
        <v>1</v>
      </c>
      <c r="C5" t="s">
        <v>488</v>
      </c>
      <c r="D5" t="s">
        <v>32</v>
      </c>
      <c r="E5">
        <v>1</v>
      </c>
      <c r="F5">
        <v>1</v>
      </c>
      <c r="G5" t="str">
        <f t="shared" si="0"/>
        <v>Single</v>
      </c>
      <c r="H5">
        <v>2</v>
      </c>
      <c r="I5" t="s">
        <v>21</v>
      </c>
      <c r="J5">
        <v>3740</v>
      </c>
      <c r="K5" t="str">
        <f>_xlfn.XLOOKUP(J5,tables!A:A,tables!C:C)</f>
        <v>fact_creditos</v>
      </c>
      <c r="L5">
        <v>3849</v>
      </c>
      <c r="M5" t="str">
        <f>_xlfn.XLOOKUP(L5,columns!A:A,columns!C:C)</f>
        <v>fecha_inicio</v>
      </c>
      <c r="N5">
        <v>2</v>
      </c>
      <c r="O5" t="str">
        <f t="shared" si="1"/>
        <v>Many</v>
      </c>
      <c r="P5">
        <v>3743</v>
      </c>
      <c r="Q5" t="str">
        <f>_xlfn.XLOOKUP(P5,tables!A:A,tables!C:C)</f>
        <v>LocalDateTable_8bfe11d8-9d64-432e-95fa-9e38282ea2b3</v>
      </c>
      <c r="R5">
        <v>3850</v>
      </c>
      <c r="S5">
        <f>_xlfn.XLOOKUP(R5,columns!A:A,columns!C:C)</f>
        <v>0</v>
      </c>
      <c r="T5">
        <v>1</v>
      </c>
      <c r="U5" t="str">
        <f t="shared" si="2"/>
        <v>One</v>
      </c>
      <c r="V5" t="str">
        <f t="shared" si="3"/>
        <v>Many-to-One</v>
      </c>
      <c r="W5">
        <v>1</v>
      </c>
      <c r="X5">
        <v>5466</v>
      </c>
      <c r="Z5" s="2">
        <v>45967.778113425928</v>
      </c>
      <c r="AA5" s="2">
        <v>45967.778113425928</v>
      </c>
      <c r="AB5">
        <v>1</v>
      </c>
    </row>
    <row r="6" spans="1:28" x14ac:dyDescent="0.35">
      <c r="A6">
        <v>3821</v>
      </c>
      <c r="B6">
        <v>1</v>
      </c>
      <c r="C6" t="s">
        <v>489</v>
      </c>
      <c r="D6" t="s">
        <v>32</v>
      </c>
      <c r="E6">
        <v>1</v>
      </c>
      <c r="F6">
        <v>1</v>
      </c>
      <c r="G6" t="str">
        <f t="shared" si="0"/>
        <v>Single</v>
      </c>
      <c r="H6">
        <v>2</v>
      </c>
      <c r="I6" t="s">
        <v>21</v>
      </c>
      <c r="J6">
        <v>3740</v>
      </c>
      <c r="K6" t="str">
        <f>_xlfn.XLOOKUP(J6,tables!A:A,tables!C:C)</f>
        <v>fact_creditos</v>
      </c>
      <c r="L6">
        <v>3865</v>
      </c>
      <c r="M6" t="str">
        <f>_xlfn.XLOOKUP(L6,columns!A:A,columns!C:C)</f>
        <v>fecha_limite_pago</v>
      </c>
      <c r="N6">
        <v>2</v>
      </c>
      <c r="O6" t="str">
        <f t="shared" si="1"/>
        <v>Many</v>
      </c>
      <c r="P6">
        <v>3749</v>
      </c>
      <c r="Q6" t="str">
        <f>_xlfn.XLOOKUP(P6,tables!A:A,tables!C:C)</f>
        <v>LocalDateTable_3681210b-a335-4c77-ac03-01e6f68ab879</v>
      </c>
      <c r="R6">
        <v>3866</v>
      </c>
      <c r="S6">
        <f>_xlfn.XLOOKUP(R6,columns!A:A,columns!C:C)</f>
        <v>0</v>
      </c>
      <c r="T6">
        <v>1</v>
      </c>
      <c r="U6" t="str">
        <f t="shared" si="2"/>
        <v>One</v>
      </c>
      <c r="V6" t="str">
        <f t="shared" si="3"/>
        <v>Many-to-One</v>
      </c>
      <c r="W6">
        <v>1</v>
      </c>
      <c r="X6">
        <v>5470</v>
      </c>
      <c r="Z6" s="2">
        <v>45967.778113425928</v>
      </c>
      <c r="AA6" s="2">
        <v>45967.778113425928</v>
      </c>
      <c r="AB6">
        <v>1</v>
      </c>
    </row>
    <row r="7" spans="1:28" x14ac:dyDescent="0.35">
      <c r="A7">
        <v>3824</v>
      </c>
      <c r="B7">
        <v>1</v>
      </c>
      <c r="C7" t="s">
        <v>490</v>
      </c>
      <c r="D7" t="s">
        <v>32</v>
      </c>
      <c r="E7">
        <v>1</v>
      </c>
      <c r="F7">
        <v>1</v>
      </c>
      <c r="G7" t="str">
        <f t="shared" si="0"/>
        <v>Single</v>
      </c>
      <c r="H7">
        <v>2</v>
      </c>
      <c r="I7" t="s">
        <v>21</v>
      </c>
      <c r="J7">
        <v>3764</v>
      </c>
      <c r="K7" t="str">
        <f>_xlfn.XLOOKUP(J7,tables!A:A,tables!C:C)</f>
        <v>fact_presupuesto</v>
      </c>
      <c r="L7">
        <v>3906</v>
      </c>
      <c r="M7" t="str">
        <f>_xlfn.XLOOKUP(L7,columns!A:A,columns!C:C)</f>
        <v>inicio_mes</v>
      </c>
      <c r="N7">
        <v>2</v>
      </c>
      <c r="O7" t="str">
        <f t="shared" si="1"/>
        <v>Many</v>
      </c>
      <c r="P7">
        <v>3767</v>
      </c>
      <c r="Q7" t="str">
        <f>_xlfn.XLOOKUP(P7,tables!A:A,tables!C:C)</f>
        <v>LocalDateTable_b6fb53e3-b7ba-4c74-884e-ccca74952e66</v>
      </c>
      <c r="R7">
        <v>3907</v>
      </c>
      <c r="S7">
        <f>_xlfn.XLOOKUP(R7,columns!A:A,columns!C:C)</f>
        <v>0</v>
      </c>
      <c r="T7">
        <v>1</v>
      </c>
      <c r="U7" t="str">
        <f t="shared" si="2"/>
        <v>One</v>
      </c>
      <c r="V7" t="str">
        <f t="shared" si="3"/>
        <v>Many-to-One</v>
      </c>
      <c r="W7">
        <v>1</v>
      </c>
      <c r="X7">
        <v>5476</v>
      </c>
      <c r="Z7" s="2">
        <v>45967.778113425928</v>
      </c>
      <c r="AA7" s="2">
        <v>45967.778113425928</v>
      </c>
      <c r="AB7">
        <v>1</v>
      </c>
    </row>
    <row r="8" spans="1:28" x14ac:dyDescent="0.35">
      <c r="A8">
        <v>3825</v>
      </c>
      <c r="B8">
        <v>1</v>
      </c>
      <c r="C8" t="s">
        <v>491</v>
      </c>
      <c r="D8" t="s">
        <v>32</v>
      </c>
      <c r="E8">
        <v>1</v>
      </c>
      <c r="F8">
        <v>1</v>
      </c>
      <c r="G8" t="str">
        <f t="shared" si="0"/>
        <v>Single</v>
      </c>
      <c r="H8">
        <v>2</v>
      </c>
      <c r="I8" t="s">
        <v>21</v>
      </c>
      <c r="J8">
        <v>3764</v>
      </c>
      <c r="K8" t="str">
        <f>_xlfn.XLOOKUP(J8,tables!A:A,tables!C:C)</f>
        <v>fact_presupuesto</v>
      </c>
      <c r="L8">
        <v>3914</v>
      </c>
      <c r="M8" t="str">
        <f>_xlfn.XLOOKUP(L8,columns!A:A,columns!C:C)</f>
        <v>final_mes</v>
      </c>
      <c r="N8">
        <v>2</v>
      </c>
      <c r="O8" t="str">
        <f t="shared" si="1"/>
        <v>Many</v>
      </c>
      <c r="P8">
        <v>3770</v>
      </c>
      <c r="Q8" t="str">
        <f>_xlfn.XLOOKUP(P8,tables!A:A,tables!C:C)</f>
        <v>LocalDateTable_e91d21ee-56d7-4dd0-96ca-26396628605f</v>
      </c>
      <c r="R8">
        <v>3915</v>
      </c>
      <c r="S8">
        <f>_xlfn.XLOOKUP(R8,columns!A:A,columns!C:C)</f>
        <v>0</v>
      </c>
      <c r="T8">
        <v>1</v>
      </c>
      <c r="U8" t="str">
        <f t="shared" si="2"/>
        <v>One</v>
      </c>
      <c r="V8" t="str">
        <f t="shared" si="3"/>
        <v>Many-to-One</v>
      </c>
      <c r="W8">
        <v>1</v>
      </c>
      <c r="X8">
        <v>5478</v>
      </c>
      <c r="Z8" s="2">
        <v>45967.778113425928</v>
      </c>
      <c r="AA8" s="2">
        <v>45967.778113425928</v>
      </c>
      <c r="AB8">
        <v>1</v>
      </c>
    </row>
    <row r="9" spans="1:28" x14ac:dyDescent="0.35">
      <c r="A9">
        <v>3826</v>
      </c>
      <c r="B9">
        <v>1</v>
      </c>
      <c r="C9" t="s">
        <v>492</v>
      </c>
      <c r="D9" t="s">
        <v>32</v>
      </c>
      <c r="E9">
        <v>1</v>
      </c>
      <c r="F9">
        <v>1</v>
      </c>
      <c r="G9" t="str">
        <f t="shared" si="0"/>
        <v>Single</v>
      </c>
      <c r="H9">
        <v>2</v>
      </c>
      <c r="I9" t="s">
        <v>21</v>
      </c>
      <c r="J9">
        <v>3785</v>
      </c>
      <c r="K9" t="str">
        <f>_xlfn.XLOOKUP(J9,tables!A:A,tables!C:C)</f>
        <v>dim_id_viajes</v>
      </c>
      <c r="L9">
        <v>3952</v>
      </c>
      <c r="M9" t="str">
        <f>_xlfn.XLOOKUP(L9,columns!A:A,columns!C:C)</f>
        <v>desde</v>
      </c>
      <c r="N9">
        <v>2</v>
      </c>
      <c r="O9" t="str">
        <f t="shared" si="1"/>
        <v>Many</v>
      </c>
      <c r="P9">
        <v>3788</v>
      </c>
      <c r="Q9" t="str">
        <f>_xlfn.XLOOKUP(P9,tables!A:A,tables!C:C)</f>
        <v>LocalDateTable_59fd308b-cf98-4ef8-ae5b-199f77810806</v>
      </c>
      <c r="R9">
        <v>3953</v>
      </c>
      <c r="S9">
        <f>_xlfn.XLOOKUP(R9,columns!A:A,columns!C:C)</f>
        <v>0</v>
      </c>
      <c r="T9">
        <v>1</v>
      </c>
      <c r="U9" t="str">
        <f t="shared" si="2"/>
        <v>One</v>
      </c>
      <c r="V9" t="str">
        <f t="shared" si="3"/>
        <v>Many-to-One</v>
      </c>
      <c r="W9">
        <v>1</v>
      </c>
      <c r="X9">
        <v>5480</v>
      </c>
      <c r="Z9" s="2">
        <v>45967.778113425928</v>
      </c>
      <c r="AA9" s="2">
        <v>45967.778113425928</v>
      </c>
      <c r="AB9">
        <v>1</v>
      </c>
    </row>
    <row r="10" spans="1:28" x14ac:dyDescent="0.35">
      <c r="A10">
        <v>3827</v>
      </c>
      <c r="B10">
        <v>1</v>
      </c>
      <c r="C10" t="s">
        <v>493</v>
      </c>
      <c r="D10" t="s">
        <v>32</v>
      </c>
      <c r="E10">
        <v>1</v>
      </c>
      <c r="F10">
        <v>1</v>
      </c>
      <c r="G10" t="str">
        <f t="shared" si="0"/>
        <v>Single</v>
      </c>
      <c r="H10">
        <v>2</v>
      </c>
      <c r="I10" t="s">
        <v>21</v>
      </c>
      <c r="J10">
        <v>3785</v>
      </c>
      <c r="K10" t="str">
        <f>_xlfn.XLOOKUP(J10,tables!A:A,tables!C:C)</f>
        <v>dim_id_viajes</v>
      </c>
      <c r="L10">
        <v>3960</v>
      </c>
      <c r="M10" t="str">
        <f>_xlfn.XLOOKUP(L10,columns!A:A,columns!C:C)</f>
        <v>hasta</v>
      </c>
      <c r="N10">
        <v>2</v>
      </c>
      <c r="O10" t="str">
        <f t="shared" si="1"/>
        <v>Many</v>
      </c>
      <c r="P10">
        <v>3791</v>
      </c>
      <c r="Q10" t="str">
        <f>_xlfn.XLOOKUP(P10,tables!A:A,tables!C:C)</f>
        <v>LocalDateTable_53e9f058-843e-49fd-93b7-86c8e4083f27</v>
      </c>
      <c r="R10">
        <v>3961</v>
      </c>
      <c r="S10">
        <f>_xlfn.XLOOKUP(R10,columns!A:A,columns!C:C)</f>
        <v>0</v>
      </c>
      <c r="T10">
        <v>1</v>
      </c>
      <c r="U10" t="str">
        <f t="shared" si="2"/>
        <v>One</v>
      </c>
      <c r="V10" t="str">
        <f t="shared" si="3"/>
        <v>Many-to-One</v>
      </c>
      <c r="W10">
        <v>1</v>
      </c>
      <c r="X10">
        <v>5482</v>
      </c>
      <c r="Z10" s="2">
        <v>45967.778113425928</v>
      </c>
      <c r="AA10" s="2">
        <v>45967.778113425928</v>
      </c>
      <c r="AB10">
        <v>1</v>
      </c>
    </row>
    <row r="11" spans="1:28" x14ac:dyDescent="0.35">
      <c r="A11">
        <v>10361</v>
      </c>
      <c r="B11">
        <v>1</v>
      </c>
      <c r="C11" t="s">
        <v>494</v>
      </c>
      <c r="D11" t="s">
        <v>32</v>
      </c>
      <c r="E11">
        <v>1</v>
      </c>
      <c r="F11">
        <v>1</v>
      </c>
      <c r="G11" t="str">
        <f t="shared" si="0"/>
        <v>Single</v>
      </c>
      <c r="H11">
        <v>2</v>
      </c>
      <c r="I11" t="s">
        <v>21</v>
      </c>
      <c r="J11">
        <v>10232</v>
      </c>
      <c r="K11" t="str">
        <f>_xlfn.XLOOKUP(J11,tables!A:A,tables!C:C)</f>
        <v>Calendario</v>
      </c>
      <c r="L11">
        <v>10282</v>
      </c>
      <c r="M11" t="s">
        <v>405</v>
      </c>
      <c r="N11">
        <v>2</v>
      </c>
      <c r="O11" t="str">
        <f t="shared" si="1"/>
        <v>Many</v>
      </c>
      <c r="P11">
        <v>10352</v>
      </c>
      <c r="Q11" t="str">
        <f>_xlfn.XLOOKUP(P11,tables!A:A,tables!C:C)</f>
        <v>LocalDateTable_bb815d3e-4cfd-4413-bfc9-f116f4ca9ef5</v>
      </c>
      <c r="R11">
        <v>10364</v>
      </c>
      <c r="S11">
        <f>_xlfn.XLOOKUP(R11,columns!A:A,columns!C:C)</f>
        <v>0</v>
      </c>
      <c r="T11">
        <v>1</v>
      </c>
      <c r="U11" t="str">
        <f t="shared" si="2"/>
        <v>One</v>
      </c>
      <c r="V11" t="str">
        <f t="shared" si="3"/>
        <v>Many-to-One</v>
      </c>
      <c r="W11">
        <v>1</v>
      </c>
      <c r="X11">
        <v>10593</v>
      </c>
      <c r="Z11" s="2">
        <v>45967.795972222222</v>
      </c>
      <c r="AA11" s="2">
        <v>45967.795972222222</v>
      </c>
      <c r="AB11">
        <v>1</v>
      </c>
    </row>
    <row r="12" spans="1:28" x14ac:dyDescent="0.35">
      <c r="A12">
        <v>10362</v>
      </c>
      <c r="B12">
        <v>1</v>
      </c>
      <c r="C12" t="s">
        <v>495</v>
      </c>
      <c r="D12" t="s">
        <v>32</v>
      </c>
      <c r="E12">
        <v>1</v>
      </c>
      <c r="F12">
        <v>1</v>
      </c>
      <c r="G12" t="str">
        <f t="shared" si="0"/>
        <v>Single</v>
      </c>
      <c r="H12">
        <v>2</v>
      </c>
      <c r="I12" t="s">
        <v>21</v>
      </c>
      <c r="J12">
        <v>10232</v>
      </c>
      <c r="K12" t="str">
        <f>_xlfn.XLOOKUP(J12,tables!A:A,tables!C:C)</f>
        <v>Calendario</v>
      </c>
      <c r="L12">
        <v>10296</v>
      </c>
      <c r="M12" t="s">
        <v>426</v>
      </c>
      <c r="N12">
        <v>2</v>
      </c>
      <c r="O12" t="str">
        <f t="shared" si="1"/>
        <v>Many</v>
      </c>
      <c r="P12">
        <v>10355</v>
      </c>
      <c r="Q12" t="str">
        <f>_xlfn.XLOOKUP(P12,tables!A:A,tables!C:C)</f>
        <v>LocalDateTable_89cc49f6-f68f-4820-9e32-b1175e645063</v>
      </c>
      <c r="R12">
        <v>10371</v>
      </c>
      <c r="S12">
        <f>_xlfn.XLOOKUP(R12,columns!A:A,columns!C:C)</f>
        <v>0</v>
      </c>
      <c r="T12">
        <v>1</v>
      </c>
      <c r="U12" t="str">
        <f t="shared" si="2"/>
        <v>One</v>
      </c>
      <c r="V12" t="str">
        <f t="shared" si="3"/>
        <v>Many-to-One</v>
      </c>
      <c r="W12">
        <v>1</v>
      </c>
      <c r="X12">
        <v>10595</v>
      </c>
      <c r="Z12" s="2">
        <v>45967.795972222222</v>
      </c>
      <c r="AA12" s="2">
        <v>45967.795972222222</v>
      </c>
      <c r="AB12">
        <v>1</v>
      </c>
    </row>
    <row r="13" spans="1:28" x14ac:dyDescent="0.35">
      <c r="A13">
        <v>10363</v>
      </c>
      <c r="B13">
        <v>1</v>
      </c>
      <c r="C13" t="s">
        <v>496</v>
      </c>
      <c r="D13" t="s">
        <v>32</v>
      </c>
      <c r="E13">
        <v>1</v>
      </c>
      <c r="F13">
        <v>1</v>
      </c>
      <c r="G13" t="str">
        <f t="shared" si="0"/>
        <v>Single</v>
      </c>
      <c r="H13">
        <v>2</v>
      </c>
      <c r="I13" t="s">
        <v>21</v>
      </c>
      <c r="J13">
        <v>10232</v>
      </c>
      <c r="K13" t="str">
        <f>_xlfn.XLOOKUP(J13,tables!A:A,tables!C:C)</f>
        <v>Calendario</v>
      </c>
      <c r="L13">
        <v>10298</v>
      </c>
      <c r="M13" t="s">
        <v>429</v>
      </c>
      <c r="N13">
        <v>2</v>
      </c>
      <c r="O13" t="str">
        <f t="shared" si="1"/>
        <v>Many</v>
      </c>
      <c r="P13">
        <v>10358</v>
      </c>
      <c r="Q13" t="str">
        <f>_xlfn.XLOOKUP(P13,tables!A:A,tables!C:C)</f>
        <v>LocalDateTable_d78c9103-9f82-4378-9ee1-8323e716fec9</v>
      </c>
      <c r="R13">
        <v>10378</v>
      </c>
      <c r="S13">
        <f>_xlfn.XLOOKUP(R13,columns!A:A,columns!C:C)</f>
        <v>0</v>
      </c>
      <c r="T13">
        <v>1</v>
      </c>
      <c r="U13" t="str">
        <f t="shared" si="2"/>
        <v>One</v>
      </c>
      <c r="V13" t="str">
        <f t="shared" si="3"/>
        <v>Many-to-One</v>
      </c>
      <c r="W13">
        <v>1</v>
      </c>
      <c r="X13">
        <v>10597</v>
      </c>
      <c r="Z13" s="2">
        <v>45967.795972222222</v>
      </c>
      <c r="AA13" s="2">
        <v>45967.795972222222</v>
      </c>
      <c r="AB13">
        <v>1</v>
      </c>
    </row>
    <row r="14" spans="1:28" x14ac:dyDescent="0.35">
      <c r="A14">
        <v>11523</v>
      </c>
      <c r="B14">
        <v>1</v>
      </c>
      <c r="C14" t="s">
        <v>497</v>
      </c>
      <c r="D14" t="s">
        <v>32</v>
      </c>
      <c r="E14">
        <v>1</v>
      </c>
      <c r="F14">
        <v>1</v>
      </c>
      <c r="G14" t="str">
        <f t="shared" si="0"/>
        <v>Single</v>
      </c>
      <c r="H14">
        <v>1</v>
      </c>
      <c r="I14" t="s">
        <v>21</v>
      </c>
      <c r="J14">
        <v>3734</v>
      </c>
      <c r="K14" t="str">
        <f>_xlfn.XLOOKUP(J14,tables!A:A,tables!C:C)</f>
        <v>fact_c_diaria</v>
      </c>
      <c r="L14">
        <v>3830</v>
      </c>
      <c r="M14" t="str">
        <f>_xlfn.XLOOKUP(L14,columns!A:A,columns!C:C)</f>
        <v>fecha</v>
      </c>
      <c r="N14">
        <v>2</v>
      </c>
      <c r="O14" t="str">
        <f t="shared" si="1"/>
        <v>Many</v>
      </c>
      <c r="P14">
        <v>10232</v>
      </c>
      <c r="Q14" t="str">
        <f>_xlfn.XLOOKUP(P14,tables!A:A,tables!C:C)</f>
        <v>Calendario</v>
      </c>
      <c r="R14">
        <v>10282</v>
      </c>
      <c r="S14" t="str">
        <f>_xlfn.XLOOKUP(R14,columns!A:A,columns!C:C)</f>
        <v>Fecha</v>
      </c>
      <c r="T14">
        <v>1</v>
      </c>
      <c r="U14" t="str">
        <f t="shared" si="2"/>
        <v>One</v>
      </c>
      <c r="V14" t="str">
        <f t="shared" si="3"/>
        <v>Many-to-One</v>
      </c>
      <c r="W14">
        <v>1</v>
      </c>
      <c r="X14">
        <v>11524</v>
      </c>
      <c r="Z14" s="2">
        <v>45967.798587962963</v>
      </c>
      <c r="AA14" s="2">
        <v>45967.798587962963</v>
      </c>
      <c r="AB14">
        <v>1</v>
      </c>
    </row>
    <row r="15" spans="1:28" x14ac:dyDescent="0.35">
      <c r="A15">
        <v>11543</v>
      </c>
      <c r="B15">
        <v>1</v>
      </c>
      <c r="C15" t="s">
        <v>498</v>
      </c>
      <c r="D15" t="s">
        <v>32</v>
      </c>
      <c r="E15">
        <v>1</v>
      </c>
      <c r="F15">
        <v>1</v>
      </c>
      <c r="G15" t="str">
        <f t="shared" si="0"/>
        <v>Single</v>
      </c>
      <c r="H15">
        <v>1</v>
      </c>
      <c r="I15" t="s">
        <v>21</v>
      </c>
      <c r="J15">
        <v>3740</v>
      </c>
      <c r="K15" t="str">
        <f>_xlfn.XLOOKUP(J15,tables!A:A,tables!C:C)</f>
        <v>fact_creditos</v>
      </c>
      <c r="L15">
        <v>3857</v>
      </c>
      <c r="M15" t="str">
        <f>_xlfn.XLOOKUP(L15,columns!A:A,columns!C:C)</f>
        <v>fecha_corte</v>
      </c>
      <c r="N15">
        <v>2</v>
      </c>
      <c r="O15" t="str">
        <f t="shared" si="1"/>
        <v>Many</v>
      </c>
      <c r="P15">
        <v>10232</v>
      </c>
      <c r="Q15" t="str">
        <f>_xlfn.XLOOKUP(P15,tables!A:A,tables!C:C)</f>
        <v>Calendario</v>
      </c>
      <c r="R15">
        <v>10282</v>
      </c>
      <c r="S15" t="str">
        <f>_xlfn.XLOOKUP(R15,columns!A:A,columns!C:C)</f>
        <v>Fecha</v>
      </c>
      <c r="T15">
        <v>1</v>
      </c>
      <c r="U15" t="str">
        <f t="shared" si="2"/>
        <v>One</v>
      </c>
      <c r="V15" t="str">
        <f t="shared" si="3"/>
        <v>Many-to-One</v>
      </c>
      <c r="W15">
        <v>1</v>
      </c>
      <c r="X15">
        <v>11544</v>
      </c>
      <c r="Z15" s="2">
        <v>45967.798981481479</v>
      </c>
      <c r="AA15" s="2">
        <v>45967.798981481479</v>
      </c>
      <c r="AB15">
        <v>1</v>
      </c>
    </row>
    <row r="16" spans="1:28" x14ac:dyDescent="0.35">
      <c r="A16">
        <v>11560</v>
      </c>
      <c r="B16">
        <v>1</v>
      </c>
      <c r="C16" t="s">
        <v>499</v>
      </c>
      <c r="D16" t="s">
        <v>32</v>
      </c>
      <c r="E16">
        <v>1</v>
      </c>
      <c r="F16">
        <v>1</v>
      </c>
      <c r="G16" t="str">
        <f t="shared" si="0"/>
        <v>Single</v>
      </c>
      <c r="H16">
        <v>1</v>
      </c>
      <c r="I16" t="s">
        <v>21</v>
      </c>
      <c r="J16">
        <v>3752</v>
      </c>
      <c r="K16" t="str">
        <f>_xlfn.XLOOKUP(J16,tables!A:A,tables!C:C)</f>
        <v>fact_inversiones</v>
      </c>
      <c r="L16">
        <v>3881</v>
      </c>
      <c r="M16" t="str">
        <f>_xlfn.XLOOKUP(L16,columns!A:A,columns!C:C)</f>
        <v>fecha_monto</v>
      </c>
      <c r="N16">
        <v>2</v>
      </c>
      <c r="O16" t="str">
        <f t="shared" si="1"/>
        <v>Many</v>
      </c>
      <c r="P16">
        <v>10232</v>
      </c>
      <c r="Q16" t="str">
        <f>_xlfn.XLOOKUP(P16,tables!A:A,tables!C:C)</f>
        <v>Calendario</v>
      </c>
      <c r="R16">
        <v>10282</v>
      </c>
      <c r="S16" t="str">
        <f>_xlfn.XLOOKUP(R16,columns!A:A,columns!C:C)</f>
        <v>Fecha</v>
      </c>
      <c r="T16">
        <v>1</v>
      </c>
      <c r="U16" t="str">
        <f t="shared" si="2"/>
        <v>One</v>
      </c>
      <c r="V16" t="str">
        <f t="shared" si="3"/>
        <v>Many-to-One</v>
      </c>
      <c r="W16">
        <v>1</v>
      </c>
      <c r="X16">
        <v>11561</v>
      </c>
      <c r="Z16" s="2">
        <v>45967.799328703702</v>
      </c>
      <c r="AA16" s="2">
        <v>45967.799328703702</v>
      </c>
      <c r="AB16">
        <v>1</v>
      </c>
    </row>
    <row r="17" spans="1:28" x14ac:dyDescent="0.35">
      <c r="A17">
        <v>11580</v>
      </c>
      <c r="B17">
        <v>1</v>
      </c>
      <c r="C17" t="s">
        <v>500</v>
      </c>
      <c r="D17" t="s">
        <v>32</v>
      </c>
      <c r="E17">
        <v>1</v>
      </c>
      <c r="F17">
        <v>1</v>
      </c>
      <c r="G17" t="str">
        <f t="shared" si="0"/>
        <v>Single</v>
      </c>
      <c r="H17">
        <v>1</v>
      </c>
      <c r="I17" t="s">
        <v>21</v>
      </c>
      <c r="J17">
        <v>3758</v>
      </c>
      <c r="K17" t="str">
        <f>_xlfn.XLOOKUP(J17,tables!A:A,tables!C:C)</f>
        <v>fact_parametros</v>
      </c>
      <c r="L17">
        <v>3895</v>
      </c>
      <c r="M17" t="str">
        <f>_xlfn.XLOOKUP(L17,columns!A:A,columns!C:C)</f>
        <v>fecha_captura</v>
      </c>
      <c r="N17">
        <v>2</v>
      </c>
      <c r="O17" t="str">
        <f t="shared" si="1"/>
        <v>Many</v>
      </c>
      <c r="P17">
        <v>10232</v>
      </c>
      <c r="Q17" t="str">
        <f>_xlfn.XLOOKUP(P17,tables!A:A,tables!C:C)</f>
        <v>Calendario</v>
      </c>
      <c r="R17">
        <v>10282</v>
      </c>
      <c r="S17" t="str">
        <f>_xlfn.XLOOKUP(R17,columns!A:A,columns!C:C)</f>
        <v>Fecha</v>
      </c>
      <c r="T17">
        <v>1</v>
      </c>
      <c r="U17" t="str">
        <f t="shared" si="2"/>
        <v>One</v>
      </c>
      <c r="V17" t="str">
        <f t="shared" si="3"/>
        <v>Many-to-One</v>
      </c>
      <c r="W17">
        <v>1</v>
      </c>
      <c r="X17">
        <v>11581</v>
      </c>
      <c r="Z17" s="2">
        <v>45967.799618055556</v>
      </c>
      <c r="AA17" s="2">
        <v>45967.799618055556</v>
      </c>
      <c r="AB17">
        <v>1</v>
      </c>
    </row>
    <row r="18" spans="1:28" x14ac:dyDescent="0.35">
      <c r="A18">
        <v>12605</v>
      </c>
      <c r="B18">
        <v>1</v>
      </c>
      <c r="C18" t="s">
        <v>501</v>
      </c>
      <c r="D18" t="s">
        <v>32</v>
      </c>
      <c r="E18">
        <v>1</v>
      </c>
      <c r="F18">
        <v>1</v>
      </c>
      <c r="G18" t="str">
        <f t="shared" si="0"/>
        <v>Single</v>
      </c>
      <c r="H18">
        <v>1</v>
      </c>
      <c r="I18" t="s">
        <v>21</v>
      </c>
      <c r="J18">
        <v>11641</v>
      </c>
      <c r="K18" t="str">
        <f>_xlfn.XLOOKUP(J18,tables!A:A,tables!C:C)</f>
        <v>ds_presupuesto_mensual_regular_dinero</v>
      </c>
      <c r="L18">
        <v>11662</v>
      </c>
      <c r="M18" t="str">
        <f>_xlfn.XLOOKUP(L18,columns!A:A,columns!C:C)</f>
        <v>mes_regular_dinero</v>
      </c>
      <c r="N18">
        <v>2</v>
      </c>
      <c r="O18" t="str">
        <f t="shared" si="1"/>
        <v>Many</v>
      </c>
      <c r="P18">
        <v>10232</v>
      </c>
      <c r="Q18" t="str">
        <f>_xlfn.XLOOKUP(P18,tables!A:A,tables!C:C)</f>
        <v>Calendario</v>
      </c>
      <c r="R18">
        <v>10282</v>
      </c>
      <c r="S18" t="str">
        <f>_xlfn.XLOOKUP(R18,columns!A:A,columns!C:C)</f>
        <v>Fecha</v>
      </c>
      <c r="T18">
        <v>1</v>
      </c>
      <c r="U18" t="str">
        <f t="shared" si="2"/>
        <v>One</v>
      </c>
      <c r="V18" t="str">
        <f t="shared" si="3"/>
        <v>Many-to-One</v>
      </c>
      <c r="W18">
        <v>1</v>
      </c>
      <c r="X18">
        <v>12606</v>
      </c>
      <c r="Z18" s="2">
        <v>45967.872418981482</v>
      </c>
      <c r="AA18" s="2">
        <v>45967.872418981482</v>
      </c>
      <c r="AB18">
        <v>1</v>
      </c>
    </row>
    <row r="19" spans="1:28" x14ac:dyDescent="0.35">
      <c r="A19">
        <v>12622</v>
      </c>
      <c r="B19">
        <v>1</v>
      </c>
      <c r="C19" t="s">
        <v>502</v>
      </c>
      <c r="D19" t="s">
        <v>32</v>
      </c>
      <c r="E19">
        <v>1</v>
      </c>
      <c r="F19">
        <v>1</v>
      </c>
      <c r="G19" t="str">
        <f t="shared" si="0"/>
        <v>Single</v>
      </c>
      <c r="H19">
        <v>1</v>
      </c>
      <c r="I19" t="s">
        <v>21</v>
      </c>
      <c r="J19">
        <v>11635</v>
      </c>
      <c r="K19" t="str">
        <f>_xlfn.XLOOKUP(J19,tables!A:A,tables!C:C)</f>
        <v>ds_presupuesto_mensual_especifico</v>
      </c>
      <c r="L19">
        <v>11652</v>
      </c>
      <c r="M19" t="str">
        <f>_xlfn.XLOOKUP(L19,columns!A:A,columns!C:C)</f>
        <v>inicio_mes</v>
      </c>
      <c r="N19">
        <v>2</v>
      </c>
      <c r="O19" t="str">
        <f t="shared" si="1"/>
        <v>Many</v>
      </c>
      <c r="P19">
        <v>10232</v>
      </c>
      <c r="Q19" t="str">
        <f>_xlfn.XLOOKUP(P19,tables!A:A,tables!C:C)</f>
        <v>Calendario</v>
      </c>
      <c r="R19">
        <v>10282</v>
      </c>
      <c r="S19" t="str">
        <f>_xlfn.XLOOKUP(R19,columns!A:A,columns!C:C)</f>
        <v>Fecha</v>
      </c>
      <c r="T19">
        <v>1</v>
      </c>
      <c r="U19" t="str">
        <f t="shared" si="2"/>
        <v>One</v>
      </c>
      <c r="V19" t="str">
        <f t="shared" si="3"/>
        <v>Many-to-One</v>
      </c>
      <c r="W19">
        <v>1</v>
      </c>
      <c r="X19">
        <v>12623</v>
      </c>
      <c r="Z19" s="2">
        <v>45967.872581018521</v>
      </c>
      <c r="AA19" s="2">
        <v>45967.872581018521</v>
      </c>
      <c r="AB19">
        <v>1</v>
      </c>
    </row>
    <row r="20" spans="1:28" x14ac:dyDescent="0.35">
      <c r="A20">
        <v>12645</v>
      </c>
      <c r="B20">
        <v>1</v>
      </c>
      <c r="C20" t="s">
        <v>503</v>
      </c>
      <c r="D20" t="s">
        <v>32</v>
      </c>
      <c r="E20">
        <v>1</v>
      </c>
      <c r="F20">
        <v>1</v>
      </c>
      <c r="G20" t="str">
        <f t="shared" si="0"/>
        <v>Single</v>
      </c>
      <c r="H20">
        <v>1</v>
      </c>
      <c r="I20" t="s">
        <v>21</v>
      </c>
      <c r="J20">
        <v>11635</v>
      </c>
      <c r="K20" t="str">
        <f>_xlfn.XLOOKUP(J20,tables!A:A,tables!C:C)</f>
        <v>ds_presupuesto_mensual_especifico</v>
      </c>
      <c r="L20">
        <v>11649</v>
      </c>
      <c r="M20" t="str">
        <f>_xlfn.XLOOKUP(L20,columns!A:A,columns!C:C)</f>
        <v>id_presupuesto_mensual</v>
      </c>
      <c r="N20">
        <v>2</v>
      </c>
      <c r="O20" t="str">
        <f t="shared" si="1"/>
        <v>Many</v>
      </c>
      <c r="P20">
        <v>3764</v>
      </c>
      <c r="Q20" t="str">
        <f>_xlfn.XLOOKUP(P20,tables!A:A,tables!C:C)</f>
        <v>fact_presupuesto</v>
      </c>
      <c r="R20">
        <v>3905</v>
      </c>
      <c r="S20" t="str">
        <f>_xlfn.XLOOKUP(R20,columns!A:A,columns!C:C)</f>
        <v>id_presupuesto_mensual</v>
      </c>
      <c r="T20">
        <v>1</v>
      </c>
      <c r="U20" t="str">
        <f t="shared" si="2"/>
        <v>One</v>
      </c>
      <c r="V20" t="str">
        <f t="shared" si="3"/>
        <v>Many-to-One</v>
      </c>
      <c r="W20">
        <v>1</v>
      </c>
      <c r="X20">
        <v>12646</v>
      </c>
      <c r="Z20" s="2">
        <v>45967.873611111114</v>
      </c>
      <c r="AA20" s="2">
        <v>45967.873611111114</v>
      </c>
      <c r="AB20">
        <v>1</v>
      </c>
    </row>
    <row r="21" spans="1:28" x14ac:dyDescent="0.35">
      <c r="A21">
        <v>12662</v>
      </c>
      <c r="B21">
        <v>1</v>
      </c>
      <c r="C21" t="s">
        <v>504</v>
      </c>
      <c r="D21" t="s">
        <v>32</v>
      </c>
      <c r="E21">
        <v>1</v>
      </c>
      <c r="F21">
        <v>1</v>
      </c>
      <c r="G21" t="str">
        <f t="shared" si="0"/>
        <v>Single</v>
      </c>
      <c r="H21">
        <v>1</v>
      </c>
      <c r="I21" t="s">
        <v>21</v>
      </c>
      <c r="J21">
        <v>11641</v>
      </c>
      <c r="K21" t="str">
        <f>_xlfn.XLOOKUP(J21,tables!A:A,tables!C:C)</f>
        <v>ds_presupuesto_mensual_regular_dinero</v>
      </c>
      <c r="L21">
        <v>11661</v>
      </c>
      <c r="M21" t="str">
        <f>_xlfn.XLOOKUP(L21,columns!A:A,columns!C:C)</f>
        <v>id_presupuesto_mensual</v>
      </c>
      <c r="N21">
        <v>2</v>
      </c>
      <c r="O21" t="str">
        <f t="shared" si="1"/>
        <v>Many</v>
      </c>
      <c r="P21">
        <v>3764</v>
      </c>
      <c r="Q21" t="str">
        <f>_xlfn.XLOOKUP(P21,tables!A:A,tables!C:C)</f>
        <v>fact_presupuesto</v>
      </c>
      <c r="R21">
        <v>3905</v>
      </c>
      <c r="S21" t="str">
        <f>_xlfn.XLOOKUP(R21,columns!A:A,columns!C:C)</f>
        <v>id_presupuesto_mensual</v>
      </c>
      <c r="T21">
        <v>1</v>
      </c>
      <c r="U21" t="str">
        <f t="shared" si="2"/>
        <v>One</v>
      </c>
      <c r="V21" t="str">
        <f t="shared" si="3"/>
        <v>Many-to-One</v>
      </c>
      <c r="W21">
        <v>1</v>
      </c>
      <c r="X21">
        <v>12663</v>
      </c>
      <c r="Z21" s="2">
        <v>45967.873854166668</v>
      </c>
      <c r="AA21" s="2">
        <v>45967.873854166668</v>
      </c>
      <c r="AB21">
        <v>1</v>
      </c>
    </row>
    <row r="22" spans="1:28" x14ac:dyDescent="0.35">
      <c r="A22">
        <v>12682</v>
      </c>
      <c r="B22">
        <v>1</v>
      </c>
      <c r="C22" t="s">
        <v>505</v>
      </c>
      <c r="D22" t="s">
        <v>32</v>
      </c>
      <c r="E22">
        <v>1</v>
      </c>
      <c r="F22">
        <v>1</v>
      </c>
      <c r="G22" t="str">
        <f t="shared" si="0"/>
        <v>Single</v>
      </c>
      <c r="H22">
        <v>1</v>
      </c>
      <c r="I22" t="s">
        <v>21</v>
      </c>
      <c r="J22">
        <v>3803</v>
      </c>
      <c r="K22" t="str">
        <f>_xlfn.XLOOKUP(J22,tables!A:A,tables!C:C)</f>
        <v>ds_viaje_tipo_cambio</v>
      </c>
      <c r="L22">
        <v>3981</v>
      </c>
      <c r="M22" t="str">
        <f>_xlfn.XLOOKUP(L22,columns!A:A,columns!C:C)</f>
        <v>id</v>
      </c>
      <c r="N22">
        <v>2</v>
      </c>
      <c r="O22" t="str">
        <f t="shared" si="1"/>
        <v>Many</v>
      </c>
      <c r="P22">
        <v>3734</v>
      </c>
      <c r="Q22" t="str">
        <f>_xlfn.XLOOKUP(P22,tables!A:A,tables!C:C)</f>
        <v>fact_c_diaria</v>
      </c>
      <c r="R22">
        <v>3829</v>
      </c>
      <c r="S22" t="str">
        <f>_xlfn.XLOOKUP(R22,columns!A:A,columns!C:C)</f>
        <v>id</v>
      </c>
      <c r="T22">
        <v>1</v>
      </c>
      <c r="U22" t="str">
        <f t="shared" si="2"/>
        <v>One</v>
      </c>
      <c r="V22" t="str">
        <f t="shared" si="3"/>
        <v>Many-to-One</v>
      </c>
      <c r="W22">
        <v>1</v>
      </c>
      <c r="X22">
        <v>12683</v>
      </c>
      <c r="Z22" s="2">
        <v>45968.724398148152</v>
      </c>
      <c r="AA22" s="2">
        <v>45968.724398148152</v>
      </c>
      <c r="AB22">
        <v>1</v>
      </c>
    </row>
    <row r="23" spans="1:28" x14ac:dyDescent="0.35">
      <c r="A23">
        <v>12702</v>
      </c>
      <c r="B23">
        <v>1</v>
      </c>
      <c r="C23" t="s">
        <v>506</v>
      </c>
      <c r="D23" t="s">
        <v>32</v>
      </c>
      <c r="E23">
        <v>1</v>
      </c>
      <c r="F23">
        <v>1</v>
      </c>
      <c r="G23" t="str">
        <f t="shared" si="0"/>
        <v>Single</v>
      </c>
      <c r="H23">
        <v>1</v>
      </c>
      <c r="I23" t="s">
        <v>21</v>
      </c>
      <c r="J23">
        <v>19</v>
      </c>
      <c r="K23" t="str">
        <f>_xlfn.XLOOKUP(J23,tables!A:A,tables!C:C)</f>
        <v>ds_creditos_periodo</v>
      </c>
      <c r="L23">
        <v>28</v>
      </c>
      <c r="M23" t="str">
        <f>_xlfn.XLOOKUP(L23,columns!A:A,columns!C:C)</f>
        <v>id</v>
      </c>
      <c r="N23">
        <v>2</v>
      </c>
      <c r="O23" t="str">
        <f t="shared" si="1"/>
        <v>Many</v>
      </c>
      <c r="P23">
        <v>3734</v>
      </c>
      <c r="Q23" t="str">
        <f>_xlfn.XLOOKUP(P23,tables!A:A,tables!C:C)</f>
        <v>fact_c_diaria</v>
      </c>
      <c r="R23">
        <v>3829</v>
      </c>
      <c r="S23" t="str">
        <f>_xlfn.XLOOKUP(R23,columns!A:A,columns!C:C)</f>
        <v>id</v>
      </c>
      <c r="T23">
        <v>1</v>
      </c>
      <c r="U23" t="str">
        <f t="shared" si="2"/>
        <v>One</v>
      </c>
      <c r="V23" t="str">
        <f t="shared" si="3"/>
        <v>Many-to-One</v>
      </c>
      <c r="W23">
        <v>1</v>
      </c>
      <c r="X23">
        <v>12703</v>
      </c>
      <c r="Z23" s="2">
        <v>45968.724814814814</v>
      </c>
      <c r="AA23" s="2">
        <v>45968.724814814814</v>
      </c>
      <c r="AB23">
        <v>1</v>
      </c>
    </row>
    <row r="24" spans="1:28" x14ac:dyDescent="0.35">
      <c r="A24">
        <v>12722</v>
      </c>
      <c r="B24">
        <v>1</v>
      </c>
      <c r="C24" t="s">
        <v>507</v>
      </c>
      <c r="D24" t="s">
        <v>32</v>
      </c>
      <c r="E24">
        <v>1</v>
      </c>
      <c r="F24">
        <v>1</v>
      </c>
      <c r="G24" t="str">
        <f t="shared" si="0"/>
        <v>Single</v>
      </c>
      <c r="H24">
        <v>1</v>
      </c>
      <c r="I24" t="s">
        <v>21</v>
      </c>
      <c r="J24">
        <v>415</v>
      </c>
      <c r="K24" t="str">
        <f>_xlfn.XLOOKUP(J24,tables!A:A,tables!C:C)</f>
        <v>ds_inversiones_movimientos</v>
      </c>
      <c r="L24">
        <v>469</v>
      </c>
      <c r="M24" t="str">
        <f>_xlfn.XLOOKUP(L24,columns!A:A,columns!C:C)</f>
        <v>id</v>
      </c>
      <c r="N24">
        <v>2</v>
      </c>
      <c r="O24" t="str">
        <f t="shared" si="1"/>
        <v>Many</v>
      </c>
      <c r="P24">
        <v>3734</v>
      </c>
      <c r="Q24" t="str">
        <f>_xlfn.XLOOKUP(P24,tables!A:A,tables!C:C)</f>
        <v>fact_c_diaria</v>
      </c>
      <c r="R24">
        <v>3829</v>
      </c>
      <c r="S24" t="str">
        <f>_xlfn.XLOOKUP(R24,columns!A:A,columns!C:C)</f>
        <v>id</v>
      </c>
      <c r="T24">
        <v>1</v>
      </c>
      <c r="U24" t="str">
        <f t="shared" si="2"/>
        <v>One</v>
      </c>
      <c r="V24" t="str">
        <f t="shared" si="3"/>
        <v>Many-to-One</v>
      </c>
      <c r="W24">
        <v>1</v>
      </c>
      <c r="X24">
        <v>12723</v>
      </c>
      <c r="Z24" s="2">
        <v>45968.725104166668</v>
      </c>
      <c r="AA24" s="2">
        <v>45968.725104166668</v>
      </c>
      <c r="AB24">
        <v>1</v>
      </c>
    </row>
    <row r="25" spans="1:28" x14ac:dyDescent="0.35">
      <c r="A25">
        <v>12742</v>
      </c>
      <c r="B25">
        <v>1</v>
      </c>
      <c r="C25" t="s">
        <v>508</v>
      </c>
      <c r="D25" t="s">
        <v>32</v>
      </c>
      <c r="E25">
        <v>1</v>
      </c>
      <c r="F25">
        <v>1</v>
      </c>
      <c r="G25" t="str">
        <f t="shared" si="0"/>
        <v>Single</v>
      </c>
      <c r="H25">
        <v>1</v>
      </c>
      <c r="I25" t="s">
        <v>21</v>
      </c>
      <c r="J25">
        <v>400</v>
      </c>
      <c r="K25" t="str">
        <f>_xlfn.XLOOKUP(J25,tables!A:A,tables!C:C)</f>
        <v>ds_deuda_id</v>
      </c>
      <c r="L25">
        <v>444</v>
      </c>
      <c r="M25" t="str">
        <f>_xlfn.XLOOKUP(L25,columns!A:A,columns!C:C)</f>
        <v>id</v>
      </c>
      <c r="N25">
        <v>2</v>
      </c>
      <c r="O25" t="str">
        <f t="shared" si="1"/>
        <v>Many</v>
      </c>
      <c r="P25">
        <v>3734</v>
      </c>
      <c r="Q25" t="str">
        <f>_xlfn.XLOOKUP(P25,tables!A:A,tables!C:C)</f>
        <v>fact_c_diaria</v>
      </c>
      <c r="R25">
        <v>3829</v>
      </c>
      <c r="S25" t="str">
        <f>_xlfn.XLOOKUP(R25,columns!A:A,columns!C:C)</f>
        <v>id</v>
      </c>
      <c r="T25">
        <v>1</v>
      </c>
      <c r="U25" t="str">
        <f t="shared" si="2"/>
        <v>One</v>
      </c>
      <c r="V25" t="str">
        <f t="shared" si="3"/>
        <v>Many-to-One</v>
      </c>
      <c r="W25">
        <v>1</v>
      </c>
      <c r="X25">
        <v>12743</v>
      </c>
      <c r="Z25" s="2">
        <v>45968.725312499999</v>
      </c>
      <c r="AA25" s="2">
        <v>45968.725312499999</v>
      </c>
      <c r="AB25">
        <v>1</v>
      </c>
    </row>
    <row r="26" spans="1:28" x14ac:dyDescent="0.35">
      <c r="A26">
        <v>12762</v>
      </c>
      <c r="B26">
        <v>1</v>
      </c>
      <c r="C26" t="s">
        <v>509</v>
      </c>
      <c r="D26" t="s">
        <v>32</v>
      </c>
      <c r="E26">
        <v>1</v>
      </c>
      <c r="F26">
        <v>1</v>
      </c>
      <c r="G26" t="str">
        <f t="shared" si="0"/>
        <v>Single</v>
      </c>
      <c r="H26">
        <v>1</v>
      </c>
      <c r="I26" t="s">
        <v>21</v>
      </c>
      <c r="J26">
        <v>13</v>
      </c>
      <c r="K26" t="str">
        <f>_xlfn.XLOOKUP(J26,tables!A:A,tables!C:C)</f>
        <v>ds_presupuesto_regular_dinero</v>
      </c>
      <c r="L26">
        <v>22</v>
      </c>
      <c r="M26" t="str">
        <f>_xlfn.XLOOKUP(L26,columns!A:A,columns!C:C)</f>
        <v>id</v>
      </c>
      <c r="N26">
        <v>2</v>
      </c>
      <c r="O26" t="str">
        <f t="shared" si="1"/>
        <v>Many</v>
      </c>
      <c r="P26">
        <v>3734</v>
      </c>
      <c r="Q26" t="str">
        <f>_xlfn.XLOOKUP(P26,tables!A:A,tables!C:C)</f>
        <v>fact_c_diaria</v>
      </c>
      <c r="R26">
        <v>3829</v>
      </c>
      <c r="S26" t="str">
        <f>_xlfn.XLOOKUP(R26,columns!A:A,columns!C:C)</f>
        <v>id</v>
      </c>
      <c r="T26">
        <v>1</v>
      </c>
      <c r="U26" t="str">
        <f t="shared" si="2"/>
        <v>One</v>
      </c>
      <c r="V26" t="str">
        <f t="shared" si="3"/>
        <v>Many-to-One</v>
      </c>
      <c r="W26">
        <v>1</v>
      </c>
      <c r="X26">
        <v>12763</v>
      </c>
      <c r="Z26" s="2">
        <v>45968.726238425923</v>
      </c>
      <c r="AA26" s="2">
        <v>45968.726238425923</v>
      </c>
      <c r="AB26">
        <v>1</v>
      </c>
    </row>
    <row r="27" spans="1:28" x14ac:dyDescent="0.35">
      <c r="A27">
        <v>12782</v>
      </c>
      <c r="B27">
        <v>1</v>
      </c>
      <c r="C27" s="4" t="s">
        <v>510</v>
      </c>
      <c r="D27" t="s">
        <v>32</v>
      </c>
      <c r="E27">
        <v>1</v>
      </c>
      <c r="F27">
        <v>1</v>
      </c>
      <c r="G27" t="str">
        <f t="shared" si="0"/>
        <v>Single</v>
      </c>
      <c r="H27">
        <v>1</v>
      </c>
      <c r="I27" t="s">
        <v>21</v>
      </c>
      <c r="J27">
        <v>16</v>
      </c>
      <c r="K27" t="str">
        <f>_xlfn.XLOOKUP(J27,tables!A:A,tables!C:C)</f>
        <v>ds_presupuesto_especifico</v>
      </c>
      <c r="L27">
        <v>25</v>
      </c>
      <c r="M27" t="str">
        <f>_xlfn.XLOOKUP(L27,columns!A:A,columns!C:C)</f>
        <v>id</v>
      </c>
      <c r="N27">
        <v>2</v>
      </c>
      <c r="O27" t="str">
        <f t="shared" si="1"/>
        <v>Many</v>
      </c>
      <c r="P27">
        <v>3734</v>
      </c>
      <c r="Q27" t="str">
        <f>_xlfn.XLOOKUP(P27,tables!A:A,tables!C:C)</f>
        <v>fact_c_diaria</v>
      </c>
      <c r="R27">
        <v>3829</v>
      </c>
      <c r="S27" t="str">
        <f>_xlfn.XLOOKUP(R27,columns!A:A,columns!C:C)</f>
        <v>id</v>
      </c>
      <c r="T27">
        <v>1</v>
      </c>
      <c r="U27" t="str">
        <f t="shared" si="2"/>
        <v>One</v>
      </c>
      <c r="V27" t="str">
        <f t="shared" si="3"/>
        <v>Many-to-One</v>
      </c>
      <c r="W27">
        <v>1</v>
      </c>
      <c r="X27">
        <v>12783</v>
      </c>
      <c r="Z27" s="2">
        <v>45968.726423611108</v>
      </c>
      <c r="AA27" s="2">
        <v>45968.726423611108</v>
      </c>
      <c r="AB27">
        <v>1</v>
      </c>
    </row>
    <row r="28" spans="1:28" x14ac:dyDescent="0.35">
      <c r="A28">
        <v>12802</v>
      </c>
      <c r="B28">
        <v>1</v>
      </c>
      <c r="C28" t="s">
        <v>511</v>
      </c>
      <c r="D28" t="s">
        <v>32</v>
      </c>
      <c r="E28">
        <v>1</v>
      </c>
      <c r="F28">
        <v>1</v>
      </c>
      <c r="G28" t="str">
        <f t="shared" si="0"/>
        <v>Single</v>
      </c>
      <c r="H28">
        <v>1</v>
      </c>
      <c r="I28" t="s">
        <v>21</v>
      </c>
      <c r="J28">
        <v>10118</v>
      </c>
      <c r="K28" t="str">
        <f>_xlfn.XLOOKUP(J28,tables!A:A,tables!C:C)</f>
        <v>ds_viaje_id</v>
      </c>
      <c r="L28">
        <v>10121</v>
      </c>
      <c r="M28" t="str">
        <f>_xlfn.XLOOKUP(L28,columns!A:A,columns!C:C)</f>
        <v>id</v>
      </c>
      <c r="N28">
        <v>2</v>
      </c>
      <c r="O28" t="str">
        <f t="shared" si="1"/>
        <v>Many</v>
      </c>
      <c r="P28">
        <v>3734</v>
      </c>
      <c r="Q28" t="str">
        <f>_xlfn.XLOOKUP(P28,tables!A:A,tables!C:C)</f>
        <v>fact_c_diaria</v>
      </c>
      <c r="R28">
        <v>3829</v>
      </c>
      <c r="S28" t="str">
        <f>_xlfn.XLOOKUP(R28,columns!A:A,columns!C:C)</f>
        <v>id</v>
      </c>
      <c r="T28">
        <v>1</v>
      </c>
      <c r="U28" t="str">
        <f t="shared" si="2"/>
        <v>One</v>
      </c>
      <c r="V28" t="str">
        <f t="shared" si="3"/>
        <v>Many-to-One</v>
      </c>
      <c r="W28">
        <v>1</v>
      </c>
      <c r="X28">
        <v>12803</v>
      </c>
      <c r="Z28" s="2">
        <v>45968.726736111108</v>
      </c>
      <c r="AA28" s="2">
        <v>45968.726736111108</v>
      </c>
      <c r="AB28">
        <v>1</v>
      </c>
    </row>
    <row r="29" spans="1:28" x14ac:dyDescent="0.35">
      <c r="A29">
        <v>12822</v>
      </c>
      <c r="B29">
        <v>1</v>
      </c>
      <c r="C29" t="s">
        <v>512</v>
      </c>
      <c r="D29" t="s">
        <v>32</v>
      </c>
      <c r="E29">
        <v>1</v>
      </c>
      <c r="F29">
        <v>1</v>
      </c>
      <c r="G29" t="str">
        <f t="shared" si="0"/>
        <v>Single</v>
      </c>
      <c r="H29">
        <v>1</v>
      </c>
      <c r="I29" t="s">
        <v>21</v>
      </c>
      <c r="J29">
        <v>400</v>
      </c>
      <c r="K29" t="str">
        <f>_xlfn.XLOOKUP(J29,tables!A:A,tables!C:C)</f>
        <v>ds_deuda_id</v>
      </c>
      <c r="L29">
        <v>445</v>
      </c>
      <c r="M29" t="str">
        <f>_xlfn.XLOOKUP(L29,columns!A:A,columns!C:C)</f>
        <v>id_deuda</v>
      </c>
      <c r="N29">
        <v>2</v>
      </c>
      <c r="O29" t="str">
        <f t="shared" si="1"/>
        <v>Many</v>
      </c>
      <c r="P29">
        <v>391</v>
      </c>
      <c r="Q29" t="str">
        <f>_xlfn.XLOOKUP(P29,tables!A:A,tables!C:C)</f>
        <v>dim_id_deuda</v>
      </c>
      <c r="R29">
        <v>425</v>
      </c>
      <c r="S29" t="str">
        <f>_xlfn.XLOOKUP(R29,columns!A:A,columns!C:C)</f>
        <v>id_deuda</v>
      </c>
      <c r="T29">
        <v>1</v>
      </c>
      <c r="U29" t="str">
        <f t="shared" si="2"/>
        <v>One</v>
      </c>
      <c r="V29" t="str">
        <f t="shared" si="3"/>
        <v>Many-to-One</v>
      </c>
      <c r="W29">
        <v>1</v>
      </c>
      <c r="X29">
        <v>12823</v>
      </c>
      <c r="Z29" s="2">
        <v>45968.740023148152</v>
      </c>
      <c r="AA29" s="2">
        <v>45968.740023148152</v>
      </c>
      <c r="AB29">
        <v>1</v>
      </c>
    </row>
    <row r="30" spans="1:28" x14ac:dyDescent="0.35">
      <c r="A30">
        <v>12839</v>
      </c>
      <c r="B30">
        <v>1</v>
      </c>
      <c r="C30" t="s">
        <v>513</v>
      </c>
      <c r="D30" t="s">
        <v>32</v>
      </c>
      <c r="E30">
        <v>1</v>
      </c>
      <c r="F30">
        <v>1</v>
      </c>
      <c r="G30" t="str">
        <f t="shared" si="0"/>
        <v>Single</v>
      </c>
      <c r="H30">
        <v>1</v>
      </c>
      <c r="I30" t="s">
        <v>21</v>
      </c>
      <c r="J30">
        <v>400</v>
      </c>
      <c r="K30" t="str">
        <f>_xlfn.XLOOKUP(J30,tables!A:A,tables!C:C)</f>
        <v>ds_deuda_id</v>
      </c>
      <c r="L30">
        <v>446</v>
      </c>
      <c r="M30" t="str">
        <f>_xlfn.XLOOKUP(L30,columns!A:A,columns!C:C)</f>
        <v>nombre_deudor</v>
      </c>
      <c r="N30">
        <v>2</v>
      </c>
      <c r="O30" t="str">
        <f t="shared" si="1"/>
        <v>Many</v>
      </c>
      <c r="P30">
        <v>388</v>
      </c>
      <c r="Q30" t="str">
        <f>_xlfn.XLOOKUP(P30,tables!A:A,tables!C:C)</f>
        <v>dim_deuda_nombre</v>
      </c>
      <c r="R30">
        <v>424</v>
      </c>
      <c r="S30" t="str">
        <f>_xlfn.XLOOKUP(R30,columns!A:A,columns!C:C)</f>
        <v>nombre_deudor</v>
      </c>
      <c r="T30">
        <v>1</v>
      </c>
      <c r="U30" t="str">
        <f t="shared" si="2"/>
        <v>One</v>
      </c>
      <c r="V30" t="str">
        <f t="shared" si="3"/>
        <v>Many-to-One</v>
      </c>
      <c r="W30">
        <v>1</v>
      </c>
      <c r="X30">
        <v>12840</v>
      </c>
      <c r="Z30" s="2">
        <v>45968.740173611113</v>
      </c>
      <c r="AA30" s="2">
        <v>45968.740173611113</v>
      </c>
      <c r="AB30">
        <v>1</v>
      </c>
    </row>
    <row r="31" spans="1:28" x14ac:dyDescent="0.35">
      <c r="A31">
        <v>12856</v>
      </c>
      <c r="B31">
        <v>1</v>
      </c>
      <c r="C31" t="s">
        <v>514</v>
      </c>
      <c r="D31" t="s">
        <v>32</v>
      </c>
      <c r="E31">
        <v>1</v>
      </c>
      <c r="F31">
        <v>1</v>
      </c>
      <c r="G31" t="str">
        <f t="shared" si="0"/>
        <v>Single</v>
      </c>
      <c r="H31">
        <v>1</v>
      </c>
      <c r="I31" t="s">
        <v>21</v>
      </c>
      <c r="J31">
        <v>19</v>
      </c>
      <c r="K31" t="str">
        <f>_xlfn.XLOOKUP(J31,tables!A:A,tables!C:C)</f>
        <v>ds_creditos_periodo</v>
      </c>
      <c r="L31">
        <v>31</v>
      </c>
      <c r="M31" t="str">
        <f>_xlfn.XLOOKUP(L31,columns!A:A,columns!C:C)</f>
        <v>tipo_credito</v>
      </c>
      <c r="N31">
        <v>2</v>
      </c>
      <c r="O31" t="str">
        <f t="shared" si="1"/>
        <v>Many</v>
      </c>
      <c r="P31">
        <v>403</v>
      </c>
      <c r="Q31" t="str">
        <f>_xlfn.XLOOKUP(P31,tables!A:A,tables!C:C)</f>
        <v>dim_tipo_credito</v>
      </c>
      <c r="R31">
        <v>448</v>
      </c>
      <c r="S31" t="str">
        <f>_xlfn.XLOOKUP(R31,columns!A:A,columns!C:C)</f>
        <v>tipo_credito</v>
      </c>
      <c r="T31">
        <v>1</v>
      </c>
      <c r="U31" t="str">
        <f t="shared" si="2"/>
        <v>One</v>
      </c>
      <c r="V31" t="str">
        <f t="shared" si="3"/>
        <v>Many-to-One</v>
      </c>
      <c r="W31">
        <v>1</v>
      </c>
      <c r="X31">
        <v>12857</v>
      </c>
      <c r="Z31" s="2">
        <v>45968.740983796299</v>
      </c>
      <c r="AA31" s="2">
        <v>45968.740983796299</v>
      </c>
      <c r="AB31">
        <v>1</v>
      </c>
    </row>
    <row r="32" spans="1:28" x14ac:dyDescent="0.35">
      <c r="A32">
        <v>12873</v>
      </c>
      <c r="B32">
        <v>1</v>
      </c>
      <c r="C32" t="s">
        <v>515</v>
      </c>
      <c r="D32" t="s">
        <v>32</v>
      </c>
      <c r="E32">
        <v>1</v>
      </c>
      <c r="F32">
        <v>1</v>
      </c>
      <c r="G32" t="str">
        <f t="shared" si="0"/>
        <v>Single</v>
      </c>
      <c r="H32">
        <v>1</v>
      </c>
      <c r="I32" t="s">
        <v>21</v>
      </c>
      <c r="J32">
        <v>415</v>
      </c>
      <c r="K32" t="str">
        <f>_xlfn.XLOOKUP(J32,tables!A:A,tables!C:C)</f>
        <v>ds_inversiones_movimientos</v>
      </c>
      <c r="L32">
        <v>471</v>
      </c>
      <c r="M32" t="str">
        <f>_xlfn.XLOOKUP(L32,columns!A:A,columns!C:C)</f>
        <v>categoria_movimiento</v>
      </c>
      <c r="N32">
        <v>2</v>
      </c>
      <c r="O32" t="str">
        <f t="shared" si="1"/>
        <v>Many</v>
      </c>
      <c r="P32">
        <v>418</v>
      </c>
      <c r="Q32" t="str">
        <f>_xlfn.XLOOKUP(P32,tables!A:A,tables!C:C)</f>
        <v>dim_categoria_movimiento</v>
      </c>
      <c r="R32">
        <v>472</v>
      </c>
      <c r="S32" t="str">
        <f>_xlfn.XLOOKUP(R32,columns!A:A,columns!C:C)</f>
        <v>categoria_movimiento</v>
      </c>
      <c r="T32">
        <v>1</v>
      </c>
      <c r="U32" t="str">
        <f t="shared" si="2"/>
        <v>One</v>
      </c>
      <c r="V32" t="str">
        <f t="shared" si="3"/>
        <v>Many-to-One</v>
      </c>
      <c r="W32">
        <v>1</v>
      </c>
      <c r="X32">
        <v>12874</v>
      </c>
      <c r="Z32" s="2">
        <v>45968.741875</v>
      </c>
      <c r="AA32" s="2">
        <v>45968.741875</v>
      </c>
      <c r="AB32">
        <v>1</v>
      </c>
    </row>
    <row r="33" spans="1:28" x14ac:dyDescent="0.35">
      <c r="A33">
        <v>12890</v>
      </c>
      <c r="B33">
        <v>1</v>
      </c>
      <c r="C33" t="s">
        <v>516</v>
      </c>
      <c r="D33" t="s">
        <v>32</v>
      </c>
      <c r="E33">
        <v>1</v>
      </c>
      <c r="F33">
        <v>1</v>
      </c>
      <c r="G33" t="str">
        <f t="shared" si="0"/>
        <v>Single</v>
      </c>
      <c r="H33">
        <v>1</v>
      </c>
      <c r="I33" t="s">
        <v>21</v>
      </c>
      <c r="J33">
        <v>415</v>
      </c>
      <c r="K33" t="str">
        <f>_xlfn.XLOOKUP(J33,tables!A:A,tables!C:C)</f>
        <v>ds_inversiones_movimientos</v>
      </c>
      <c r="L33">
        <v>470</v>
      </c>
      <c r="M33" t="str">
        <f>_xlfn.XLOOKUP(L33,columns!A:A,columns!C:C)</f>
        <v>tipo_inversion_detectado</v>
      </c>
      <c r="N33">
        <v>2</v>
      </c>
      <c r="O33" t="str">
        <f t="shared" si="1"/>
        <v>Many</v>
      </c>
      <c r="P33">
        <v>3773</v>
      </c>
      <c r="Q33" t="str">
        <f>_xlfn.XLOOKUP(P33,tables!A:A,tables!C:C)</f>
        <v>dim_tipo_inversion</v>
      </c>
      <c r="R33">
        <v>3928</v>
      </c>
      <c r="S33" t="str">
        <f>_xlfn.XLOOKUP(R33,columns!A:A,columns!C:C)</f>
        <v>tipo_inversion</v>
      </c>
      <c r="T33">
        <v>1</v>
      </c>
      <c r="U33" t="str">
        <f t="shared" si="2"/>
        <v>One</v>
      </c>
      <c r="V33" t="str">
        <f t="shared" si="3"/>
        <v>Many-to-One</v>
      </c>
      <c r="W33">
        <v>1</v>
      </c>
      <c r="X33">
        <v>12891</v>
      </c>
      <c r="Z33" s="2">
        <v>45968.742476851854</v>
      </c>
      <c r="AA33" s="2">
        <v>45968.742476851854</v>
      </c>
      <c r="AB33">
        <v>1</v>
      </c>
    </row>
    <row r="34" spans="1:28" x14ac:dyDescent="0.35">
      <c r="A34">
        <v>12907</v>
      </c>
      <c r="B34">
        <v>1</v>
      </c>
      <c r="C34" t="s">
        <v>517</v>
      </c>
      <c r="D34" t="s">
        <v>32</v>
      </c>
      <c r="E34">
        <v>1</v>
      </c>
      <c r="F34">
        <v>1</v>
      </c>
      <c r="G34" t="str">
        <f t="shared" si="0"/>
        <v>Single</v>
      </c>
      <c r="H34">
        <v>1</v>
      </c>
      <c r="I34" t="s">
        <v>21</v>
      </c>
      <c r="J34">
        <v>10118</v>
      </c>
      <c r="K34" t="str">
        <f>_xlfn.XLOOKUP(J34,tables!A:A,tables!C:C)</f>
        <v>ds_viaje_id</v>
      </c>
      <c r="L34">
        <v>10122</v>
      </c>
      <c r="M34" t="str">
        <f>_xlfn.XLOOKUP(L34,columns!A:A,columns!C:C)</f>
        <v>id_viaje</v>
      </c>
      <c r="N34">
        <v>2</v>
      </c>
      <c r="O34" t="str">
        <f t="shared" si="1"/>
        <v>Many</v>
      </c>
      <c r="P34">
        <v>3785</v>
      </c>
      <c r="Q34" t="str">
        <f>_xlfn.XLOOKUP(P34,tables!A:A,tables!C:C)</f>
        <v>dim_id_viajes</v>
      </c>
      <c r="R34">
        <v>3948</v>
      </c>
      <c r="S34" t="str">
        <f>_xlfn.XLOOKUP(R34,columns!A:A,columns!C:C)</f>
        <v>id_viaje</v>
      </c>
      <c r="T34">
        <v>1</v>
      </c>
      <c r="U34" t="str">
        <f t="shared" si="2"/>
        <v>One</v>
      </c>
      <c r="V34" t="str">
        <f t="shared" si="3"/>
        <v>Many-to-One</v>
      </c>
      <c r="W34">
        <v>1</v>
      </c>
      <c r="X34">
        <v>12908</v>
      </c>
      <c r="Z34" s="2">
        <v>45968.742766203701</v>
      </c>
      <c r="AA34" s="2">
        <v>45968.742766203701</v>
      </c>
      <c r="AB34">
        <v>1</v>
      </c>
    </row>
    <row r="35" spans="1:28" x14ac:dyDescent="0.35">
      <c r="A35">
        <v>12944</v>
      </c>
      <c r="B35">
        <v>1</v>
      </c>
      <c r="C35" t="s">
        <v>518</v>
      </c>
      <c r="D35" t="s">
        <v>32</v>
      </c>
      <c r="E35">
        <v>1</v>
      </c>
      <c r="F35">
        <v>1</v>
      </c>
      <c r="G35" t="str">
        <f t="shared" si="0"/>
        <v>Single</v>
      </c>
      <c r="H35">
        <v>1</v>
      </c>
      <c r="I35" t="s">
        <v>21</v>
      </c>
      <c r="J35">
        <v>10118</v>
      </c>
      <c r="K35" t="str">
        <f>_xlfn.XLOOKUP(J35,tables!A:A,tables!C:C)</f>
        <v>ds_viaje_id</v>
      </c>
      <c r="L35">
        <v>10123</v>
      </c>
      <c r="M35" t="str">
        <f>_xlfn.XLOOKUP(L35,columns!A:A,columns!C:C)</f>
        <v>grupo_viaje</v>
      </c>
      <c r="N35">
        <v>2</v>
      </c>
      <c r="O35" t="str">
        <f t="shared" si="1"/>
        <v>Many</v>
      </c>
      <c r="P35">
        <v>406</v>
      </c>
      <c r="Q35" t="str">
        <f>_xlfn.XLOOKUP(P35,tables!A:A,tables!C:C)</f>
        <v>dim_viajes_grupo</v>
      </c>
      <c r="R35">
        <v>449</v>
      </c>
      <c r="S35" t="str">
        <f>_xlfn.XLOOKUP(R35,columns!A:A,columns!C:C)</f>
        <v>grupo_viaje</v>
      </c>
      <c r="T35">
        <v>1</v>
      </c>
      <c r="U35" t="str">
        <f t="shared" si="2"/>
        <v>One</v>
      </c>
      <c r="V35" t="str">
        <f t="shared" si="3"/>
        <v>Many-to-One</v>
      </c>
      <c r="W35">
        <v>1</v>
      </c>
      <c r="X35">
        <v>12945</v>
      </c>
      <c r="Z35" s="2">
        <v>45968.743506944447</v>
      </c>
      <c r="AA35" s="2">
        <v>45968.743506944447</v>
      </c>
      <c r="AB35">
        <v>1</v>
      </c>
    </row>
    <row r="36" spans="1:28" x14ac:dyDescent="0.35">
      <c r="A36">
        <v>13288</v>
      </c>
      <c r="B36">
        <v>1</v>
      </c>
      <c r="C36" t="s">
        <v>519</v>
      </c>
      <c r="D36" t="s">
        <v>32</v>
      </c>
      <c r="E36">
        <v>1</v>
      </c>
      <c r="F36">
        <v>1</v>
      </c>
      <c r="G36" t="str">
        <f t="shared" si="0"/>
        <v>Single</v>
      </c>
      <c r="H36">
        <v>1</v>
      </c>
      <c r="I36" t="s">
        <v>21</v>
      </c>
      <c r="J36">
        <v>3809</v>
      </c>
      <c r="K36" t="str">
        <f>_xlfn.XLOOKUP(J36,tables!A:A,tables!C:C)</f>
        <v>ds_viajes_url</v>
      </c>
      <c r="L36">
        <v>3988</v>
      </c>
      <c r="M36" t="str">
        <f>_xlfn.XLOOKUP(L36,columns!A:A,columns!C:C)</f>
        <v>id_viaje</v>
      </c>
      <c r="N36">
        <v>2</v>
      </c>
      <c r="O36" t="str">
        <f t="shared" si="1"/>
        <v>Many</v>
      </c>
      <c r="P36">
        <v>3785</v>
      </c>
      <c r="Q36" t="str">
        <f>_xlfn.XLOOKUP(P36,tables!A:A,tables!C:C)</f>
        <v>dim_id_viajes</v>
      </c>
      <c r="R36">
        <v>3948</v>
      </c>
      <c r="S36" t="str">
        <f>_xlfn.XLOOKUP(R36,columns!A:A,columns!C:C)</f>
        <v>id_viaje</v>
      </c>
      <c r="T36">
        <v>1</v>
      </c>
      <c r="U36" t="str">
        <f t="shared" si="2"/>
        <v>One</v>
      </c>
      <c r="V36" t="str">
        <f t="shared" si="3"/>
        <v>Many-to-One</v>
      </c>
      <c r="W36">
        <v>1</v>
      </c>
      <c r="X36">
        <v>13289</v>
      </c>
      <c r="Z36" s="2">
        <v>45968.755439814813</v>
      </c>
      <c r="AA36" s="2">
        <v>45968.755439814813</v>
      </c>
      <c r="AB36">
        <v>1</v>
      </c>
    </row>
    <row r="37" spans="1:28" x14ac:dyDescent="0.35">
      <c r="A37">
        <v>13305</v>
      </c>
      <c r="B37">
        <v>1</v>
      </c>
      <c r="C37" t="s">
        <v>520</v>
      </c>
      <c r="D37" t="s">
        <v>32</v>
      </c>
      <c r="E37">
        <v>1</v>
      </c>
      <c r="F37">
        <v>1</v>
      </c>
      <c r="G37" t="str">
        <f t="shared" si="0"/>
        <v>Single</v>
      </c>
      <c r="H37">
        <v>1</v>
      </c>
      <c r="I37" t="s">
        <v>21</v>
      </c>
      <c r="J37">
        <v>16</v>
      </c>
      <c r="K37" t="str">
        <f>_xlfn.XLOOKUP(J37,tables!A:A,tables!C:C)</f>
        <v>ds_presupuesto_especifico</v>
      </c>
      <c r="L37">
        <v>26</v>
      </c>
      <c r="M37" t="str">
        <f>_xlfn.XLOOKUP(L37,columns!A:A,columns!C:C)</f>
        <v>id_presupuesto</v>
      </c>
      <c r="N37">
        <v>2</v>
      </c>
      <c r="O37" t="str">
        <f t="shared" si="1"/>
        <v>Many</v>
      </c>
      <c r="P37">
        <v>3782</v>
      </c>
      <c r="Q37" t="str">
        <f>_xlfn.XLOOKUP(P37,tables!A:A,tables!C:C)</f>
        <v>dim_id_presupuesto</v>
      </c>
      <c r="R37">
        <v>3940</v>
      </c>
      <c r="S37" t="str">
        <f>_xlfn.XLOOKUP(R37,columns!A:A,columns!C:C)</f>
        <v>id_presupuesto</v>
      </c>
      <c r="T37">
        <v>1</v>
      </c>
      <c r="U37" t="str">
        <f t="shared" si="2"/>
        <v>One</v>
      </c>
      <c r="V37" t="str">
        <f t="shared" si="3"/>
        <v>Many-to-One</v>
      </c>
      <c r="W37">
        <v>1</v>
      </c>
      <c r="X37">
        <v>13306</v>
      </c>
      <c r="Z37" s="2">
        <v>45968.756331018521</v>
      </c>
      <c r="AA37" s="2">
        <v>45968.756331018521</v>
      </c>
      <c r="AB37">
        <v>1</v>
      </c>
    </row>
    <row r="38" spans="1:28" x14ac:dyDescent="0.35">
      <c r="A38">
        <v>13322</v>
      </c>
      <c r="B38">
        <v>1</v>
      </c>
      <c r="C38" t="s">
        <v>521</v>
      </c>
      <c r="D38" t="s">
        <v>32</v>
      </c>
      <c r="E38">
        <v>1</v>
      </c>
      <c r="F38">
        <v>1</v>
      </c>
      <c r="G38" t="str">
        <f t="shared" si="0"/>
        <v>Single</v>
      </c>
      <c r="H38">
        <v>1</v>
      </c>
      <c r="I38" t="s">
        <v>21</v>
      </c>
      <c r="J38">
        <v>3764</v>
      </c>
      <c r="K38" t="str">
        <f>_xlfn.XLOOKUP(J38,tables!A:A,tables!C:C)</f>
        <v>fact_presupuesto</v>
      </c>
      <c r="L38">
        <v>3922</v>
      </c>
      <c r="M38" t="str">
        <f>_xlfn.XLOOKUP(L38,columns!A:A,columns!C:C)</f>
        <v>razon_uso</v>
      </c>
      <c r="N38">
        <v>2</v>
      </c>
      <c r="O38" t="str">
        <f t="shared" si="1"/>
        <v>Many</v>
      </c>
      <c r="P38">
        <v>3776</v>
      </c>
      <c r="Q38" t="str">
        <f>_xlfn.XLOOKUP(P38,tables!A:A,tables!C:C)</f>
        <v>dim_razon_uso</v>
      </c>
      <c r="R38">
        <v>3930</v>
      </c>
      <c r="S38" t="str">
        <f>_xlfn.XLOOKUP(R38,columns!A:A,columns!C:C)</f>
        <v>razon_uso</v>
      </c>
      <c r="T38">
        <v>1</v>
      </c>
      <c r="U38" t="str">
        <f t="shared" si="2"/>
        <v>One</v>
      </c>
      <c r="V38" t="str">
        <f t="shared" si="3"/>
        <v>Many-to-One</v>
      </c>
      <c r="W38">
        <v>1</v>
      </c>
      <c r="X38">
        <v>13323</v>
      </c>
      <c r="Z38" s="2">
        <v>45968.757974537039</v>
      </c>
      <c r="AA38" s="2">
        <v>45968.757974537039</v>
      </c>
      <c r="AB38">
        <v>1</v>
      </c>
    </row>
    <row r="39" spans="1:28" x14ac:dyDescent="0.35">
      <c r="A39">
        <v>13339</v>
      </c>
      <c r="B39">
        <v>1</v>
      </c>
      <c r="C39" t="s">
        <v>522</v>
      </c>
      <c r="D39" t="s">
        <v>32</v>
      </c>
      <c r="E39">
        <v>1</v>
      </c>
      <c r="F39">
        <v>1</v>
      </c>
      <c r="G39" t="str">
        <f t="shared" si="0"/>
        <v>Single</v>
      </c>
      <c r="H39">
        <v>1</v>
      </c>
      <c r="I39" t="s">
        <v>21</v>
      </c>
      <c r="J39">
        <v>3734</v>
      </c>
      <c r="K39" t="str">
        <f>_xlfn.XLOOKUP(J39,tables!A:A,tables!C:C)</f>
        <v>fact_c_diaria</v>
      </c>
      <c r="L39">
        <v>3838</v>
      </c>
      <c r="M39" t="str">
        <f>_xlfn.XLOOKUP(L39,columns!A:A,columns!C:C)</f>
        <v>razon_uso</v>
      </c>
      <c r="N39">
        <v>2</v>
      </c>
      <c r="O39" t="str">
        <f t="shared" si="1"/>
        <v>Many</v>
      </c>
      <c r="P39">
        <v>3776</v>
      </c>
      <c r="Q39" t="str">
        <f>_xlfn.XLOOKUP(P39,tables!A:A,tables!C:C)</f>
        <v>dim_razon_uso</v>
      </c>
      <c r="R39">
        <v>3930</v>
      </c>
      <c r="S39" t="str">
        <f>_xlfn.XLOOKUP(R39,columns!A:A,columns!C:C)</f>
        <v>razon_uso</v>
      </c>
      <c r="T39">
        <v>1</v>
      </c>
      <c r="U39" t="str">
        <f t="shared" si="2"/>
        <v>One</v>
      </c>
      <c r="V39" t="str">
        <f t="shared" si="3"/>
        <v>Many-to-One</v>
      </c>
      <c r="W39">
        <v>1</v>
      </c>
      <c r="X39">
        <v>13340</v>
      </c>
      <c r="Z39" s="2">
        <v>45968.758217592593</v>
      </c>
      <c r="AA39" s="2">
        <v>45968.758217592593</v>
      </c>
      <c r="AB39">
        <v>1</v>
      </c>
    </row>
    <row r="40" spans="1:28" x14ac:dyDescent="0.35">
      <c r="A40">
        <v>13356</v>
      </c>
      <c r="B40">
        <v>1</v>
      </c>
      <c r="C40" t="s">
        <v>523</v>
      </c>
      <c r="D40" t="s">
        <v>32</v>
      </c>
      <c r="E40">
        <v>1</v>
      </c>
      <c r="F40">
        <v>1</v>
      </c>
      <c r="G40" t="str">
        <f t="shared" si="0"/>
        <v>Single</v>
      </c>
      <c r="H40">
        <v>1</v>
      </c>
      <c r="I40" t="s">
        <v>21</v>
      </c>
      <c r="J40">
        <v>3764</v>
      </c>
      <c r="K40" t="str">
        <f>_xlfn.XLOOKUP(J40,tables!A:A,tables!C:C)</f>
        <v>fact_presupuesto</v>
      </c>
      <c r="L40">
        <v>3925</v>
      </c>
      <c r="M40" t="str">
        <f>_xlfn.XLOOKUP(L40,columns!A:A,columns!C:C)</f>
        <v>id_presupuesto</v>
      </c>
      <c r="N40">
        <v>2</v>
      </c>
      <c r="O40" t="str">
        <f t="shared" si="1"/>
        <v>Many</v>
      </c>
      <c r="P40">
        <v>3782</v>
      </c>
      <c r="Q40" t="str">
        <f>_xlfn.XLOOKUP(P40,tables!A:A,tables!C:C)</f>
        <v>dim_id_presupuesto</v>
      </c>
      <c r="R40">
        <v>3940</v>
      </c>
      <c r="S40" t="str">
        <f>_xlfn.XLOOKUP(R40,columns!A:A,columns!C:C)</f>
        <v>id_presupuesto</v>
      </c>
      <c r="T40">
        <v>1</v>
      </c>
      <c r="U40" t="str">
        <f t="shared" si="2"/>
        <v>One</v>
      </c>
      <c r="V40" t="str">
        <f t="shared" si="3"/>
        <v>Many-to-One</v>
      </c>
      <c r="W40">
        <v>1</v>
      </c>
      <c r="X40">
        <v>13357</v>
      </c>
      <c r="Z40" s="2">
        <v>45968.759317129632</v>
      </c>
      <c r="AA40" s="2">
        <v>45968.759317129632</v>
      </c>
      <c r="AB40">
        <v>1</v>
      </c>
    </row>
    <row r="41" spans="1:28" x14ac:dyDescent="0.35">
      <c r="A41">
        <v>13373</v>
      </c>
      <c r="B41">
        <v>1</v>
      </c>
      <c r="C41" t="s">
        <v>524</v>
      </c>
      <c r="D41" t="s">
        <v>32</v>
      </c>
      <c r="E41">
        <v>1</v>
      </c>
      <c r="F41">
        <v>1</v>
      </c>
      <c r="G41" t="str">
        <f t="shared" si="0"/>
        <v>Single</v>
      </c>
      <c r="H41">
        <v>1</v>
      </c>
      <c r="I41" t="s">
        <v>21</v>
      </c>
      <c r="J41">
        <v>3734</v>
      </c>
      <c r="K41" t="str">
        <f>_xlfn.XLOOKUP(J41,tables!A:A,tables!C:C)</f>
        <v>fact_c_diaria</v>
      </c>
      <c r="L41">
        <v>3847</v>
      </c>
      <c r="M41" t="str">
        <f>_xlfn.XLOOKUP(L41,columns!A:A,columns!C:C)</f>
        <v>metodo_pago_general</v>
      </c>
      <c r="N41">
        <v>2</v>
      </c>
      <c r="O41" t="str">
        <f t="shared" si="1"/>
        <v>Many</v>
      </c>
      <c r="P41">
        <v>3800</v>
      </c>
      <c r="Q41" t="str">
        <f>_xlfn.XLOOKUP(P41,tables!A:A,tables!C:C)</f>
        <v>dim_metodo_pago_general</v>
      </c>
      <c r="R41">
        <v>3980</v>
      </c>
      <c r="S41" t="str">
        <f>_xlfn.XLOOKUP(R41,columns!A:A,columns!C:C)</f>
        <v>metodo_pago_general</v>
      </c>
      <c r="T41">
        <v>1</v>
      </c>
      <c r="U41" t="str">
        <f t="shared" si="2"/>
        <v>One</v>
      </c>
      <c r="V41" t="str">
        <f t="shared" si="3"/>
        <v>Many-to-One</v>
      </c>
      <c r="W41">
        <v>1</v>
      </c>
      <c r="X41">
        <v>13374</v>
      </c>
      <c r="Z41" s="2">
        <v>45968.760428240741</v>
      </c>
      <c r="AA41" s="2">
        <v>45968.760428240741</v>
      </c>
      <c r="AB41">
        <v>1</v>
      </c>
    </row>
    <row r="42" spans="1:28" x14ac:dyDescent="0.35">
      <c r="A42">
        <v>13390</v>
      </c>
      <c r="B42">
        <v>1</v>
      </c>
      <c r="C42" t="s">
        <v>525</v>
      </c>
      <c r="D42" t="s">
        <v>32</v>
      </c>
      <c r="E42">
        <v>1</v>
      </c>
      <c r="F42">
        <v>1</v>
      </c>
      <c r="G42" t="str">
        <f t="shared" si="0"/>
        <v>Single</v>
      </c>
      <c r="H42">
        <v>1</v>
      </c>
      <c r="I42" t="s">
        <v>21</v>
      </c>
      <c r="J42">
        <v>3740</v>
      </c>
      <c r="K42" t="str">
        <f>_xlfn.XLOOKUP(J42,tables!A:A,tables!C:C)</f>
        <v>fact_creditos</v>
      </c>
      <c r="L42">
        <v>3877</v>
      </c>
      <c r="M42" t="str">
        <f>_xlfn.XLOOKUP(L42,columns!A:A,columns!C:C)</f>
        <v>metodo_pago_general</v>
      </c>
      <c r="N42">
        <v>2</v>
      </c>
      <c r="O42" t="str">
        <f t="shared" si="1"/>
        <v>Many</v>
      </c>
      <c r="P42">
        <v>3800</v>
      </c>
      <c r="Q42" t="str">
        <f>_xlfn.XLOOKUP(P42,tables!A:A,tables!C:C)</f>
        <v>dim_metodo_pago_general</v>
      </c>
      <c r="R42">
        <v>3980</v>
      </c>
      <c r="S42" t="str">
        <f>_xlfn.XLOOKUP(R42,columns!A:A,columns!C:C)</f>
        <v>metodo_pago_general</v>
      </c>
      <c r="T42">
        <v>1</v>
      </c>
      <c r="U42" t="str">
        <f t="shared" si="2"/>
        <v>One</v>
      </c>
      <c r="V42" t="str">
        <f t="shared" si="3"/>
        <v>Many-to-One</v>
      </c>
      <c r="W42">
        <v>1</v>
      </c>
      <c r="X42">
        <v>13391</v>
      </c>
      <c r="Z42" s="2">
        <v>45968.760555555556</v>
      </c>
      <c r="AA42" s="2">
        <v>45968.760555555556</v>
      </c>
      <c r="AB42">
        <v>1</v>
      </c>
    </row>
    <row r="43" spans="1:28" x14ac:dyDescent="0.35">
      <c r="A43">
        <v>13425</v>
      </c>
      <c r="B43">
        <v>1</v>
      </c>
      <c r="C43" t="s">
        <v>526</v>
      </c>
      <c r="D43" t="s">
        <v>32</v>
      </c>
      <c r="E43">
        <v>1</v>
      </c>
      <c r="F43">
        <v>1</v>
      </c>
      <c r="G43" t="str">
        <f t="shared" si="0"/>
        <v>Single</v>
      </c>
      <c r="H43">
        <v>1</v>
      </c>
      <c r="I43" t="s">
        <v>21</v>
      </c>
      <c r="J43">
        <v>3785</v>
      </c>
      <c r="K43" t="str">
        <f>_xlfn.XLOOKUP(J43,tables!A:A,tables!C:C)</f>
        <v>dim_id_viajes</v>
      </c>
      <c r="L43">
        <v>3949</v>
      </c>
      <c r="M43" t="str">
        <f>_xlfn.XLOOKUP(L43,columns!A:A,columns!C:C)</f>
        <v>ubicacion_viajes</v>
      </c>
      <c r="N43">
        <v>2</v>
      </c>
      <c r="O43" t="str">
        <f t="shared" si="1"/>
        <v>Many</v>
      </c>
      <c r="P43">
        <v>3779</v>
      </c>
      <c r="Q43" t="str">
        <f>_xlfn.XLOOKUP(P43,tables!A:A,tables!C:C)</f>
        <v>dim_geografia</v>
      </c>
      <c r="R43">
        <v>3933</v>
      </c>
      <c r="S43" t="str">
        <f>_xlfn.XLOOKUP(R43,columns!A:A,columns!C:C)</f>
        <v>ubicacion_viajes</v>
      </c>
      <c r="T43">
        <v>1</v>
      </c>
      <c r="U43" t="str">
        <f t="shared" si="2"/>
        <v>One</v>
      </c>
      <c r="V43" t="str">
        <f t="shared" si="3"/>
        <v>Many-to-One</v>
      </c>
      <c r="W43">
        <v>1</v>
      </c>
      <c r="X43">
        <v>13426</v>
      </c>
      <c r="Z43" s="2">
        <v>45968.766863425924</v>
      </c>
      <c r="AA43" s="2">
        <v>45968.766863425924</v>
      </c>
      <c r="AB43">
        <v>1</v>
      </c>
    </row>
  </sheetData>
  <autoFilter ref="A1:AB43" xr:uid="{4A5B68EF-B370-4168-B17C-2884F1F389F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166A-819A-4FB0-9CE1-986F3EB5333C}">
  <dimension ref="A1:G30"/>
  <sheetViews>
    <sheetView topLeftCell="B1" workbookViewId="0">
      <pane ySplit="1" topLeftCell="A2" activePane="bottomLeft" state="frozen"/>
      <selection pane="bottomLeft" sqref="A1:G1048576"/>
    </sheetView>
  </sheetViews>
  <sheetFormatPr baseColWidth="10" defaultRowHeight="14.5" x14ac:dyDescent="0.35"/>
  <cols>
    <col min="1" max="1" width="36.26953125" bestFit="1" customWidth="1"/>
    <col min="2" max="2" width="22.36328125" bestFit="1" customWidth="1"/>
    <col min="3" max="3" width="22.36328125" customWidth="1"/>
    <col min="4" max="4" width="49.36328125" bestFit="1" customWidth="1"/>
    <col min="5" max="5" width="22.36328125" bestFit="1" customWidth="1"/>
    <col min="6" max="6" width="22.36328125" customWidth="1"/>
  </cols>
  <sheetData>
    <row r="1" spans="1:7" x14ac:dyDescent="0.35">
      <c r="A1" t="str">
        <f>relationships!J1</f>
        <v>FromTableID</v>
      </c>
      <c r="B1" t="str">
        <f>relationships!L1</f>
        <v>FromColumnID</v>
      </c>
      <c r="C1" t="str">
        <f>relationships!V1</f>
        <v>Cardinality</v>
      </c>
      <c r="D1" t="str">
        <f>relationships!P1</f>
        <v>ToTableID</v>
      </c>
      <c r="E1" t="str">
        <f>relationships!R1</f>
        <v>ToColumnID</v>
      </c>
      <c r="F1" t="str">
        <f>relationships!F1</f>
        <v>CrossFilteringBehavior</v>
      </c>
      <c r="G1" t="str">
        <f>relationships!D1</f>
        <v>IsActive</v>
      </c>
    </row>
    <row r="2" spans="1:7" x14ac:dyDescent="0.35">
      <c r="A2" t="str">
        <f>relationships!K14</f>
        <v>fact_c_diaria</v>
      </c>
      <c r="B2" t="str">
        <f>relationships!M14</f>
        <v>fecha</v>
      </c>
      <c r="C2" t="str">
        <f>relationships!V2</f>
        <v>Many-to-One</v>
      </c>
      <c r="D2" t="str">
        <f>relationships!Q14</f>
        <v>Calendario</v>
      </c>
      <c r="E2" t="str">
        <f>relationships!S14</f>
        <v>Fecha</v>
      </c>
      <c r="F2" t="str">
        <f>relationships!G2</f>
        <v>Single</v>
      </c>
      <c r="G2" t="str">
        <f>relationships!D14</f>
        <v>True</v>
      </c>
    </row>
    <row r="3" spans="1:7" x14ac:dyDescent="0.35">
      <c r="A3" t="str">
        <f>relationships!K15</f>
        <v>fact_creditos</v>
      </c>
      <c r="B3" t="str">
        <f>relationships!M15</f>
        <v>fecha_corte</v>
      </c>
      <c r="C3" t="str">
        <f>relationships!V3</f>
        <v>Many-to-One</v>
      </c>
      <c r="D3" t="str">
        <f>relationships!Q15</f>
        <v>Calendario</v>
      </c>
      <c r="E3" t="str">
        <f>relationships!S15</f>
        <v>Fecha</v>
      </c>
      <c r="F3" t="str">
        <f>relationships!G3</f>
        <v>Single</v>
      </c>
      <c r="G3" t="str">
        <f>relationships!D15</f>
        <v>True</v>
      </c>
    </row>
    <row r="4" spans="1:7" x14ac:dyDescent="0.35">
      <c r="A4" t="str">
        <f>relationships!K16</f>
        <v>fact_inversiones</v>
      </c>
      <c r="B4" t="str">
        <f>relationships!M16</f>
        <v>fecha_monto</v>
      </c>
      <c r="C4" t="str">
        <f>relationships!V4</f>
        <v>Many-to-One</v>
      </c>
      <c r="D4" t="str">
        <f>relationships!Q16</f>
        <v>Calendario</v>
      </c>
      <c r="E4" t="str">
        <f>relationships!S16</f>
        <v>Fecha</v>
      </c>
      <c r="F4" t="str">
        <f>relationships!G4</f>
        <v>Single</v>
      </c>
      <c r="G4" t="str">
        <f>relationships!D16</f>
        <v>True</v>
      </c>
    </row>
    <row r="5" spans="1:7" x14ac:dyDescent="0.35">
      <c r="A5" t="str">
        <f>relationships!K17</f>
        <v>fact_parametros</v>
      </c>
      <c r="B5" t="str">
        <f>relationships!M17</f>
        <v>fecha_captura</v>
      </c>
      <c r="C5" t="str">
        <f>relationships!V5</f>
        <v>Many-to-One</v>
      </c>
      <c r="D5" t="str">
        <f>relationships!Q17</f>
        <v>Calendario</v>
      </c>
      <c r="E5" t="str">
        <f>relationships!S17</f>
        <v>Fecha</v>
      </c>
      <c r="F5" t="str">
        <f>relationships!G5</f>
        <v>Single</v>
      </c>
      <c r="G5" t="str">
        <f>relationships!D17</f>
        <v>True</v>
      </c>
    </row>
    <row r="6" spans="1:7" x14ac:dyDescent="0.35">
      <c r="A6" t="str">
        <f>relationships!K18</f>
        <v>ds_presupuesto_mensual_regular_dinero</v>
      </c>
      <c r="B6" t="str">
        <f>relationships!M18</f>
        <v>mes_regular_dinero</v>
      </c>
      <c r="C6" t="str">
        <f>relationships!V6</f>
        <v>Many-to-One</v>
      </c>
      <c r="D6" t="str">
        <f>relationships!Q18</f>
        <v>Calendario</v>
      </c>
      <c r="E6" t="str">
        <f>relationships!S18</f>
        <v>Fecha</v>
      </c>
      <c r="F6" t="str">
        <f>relationships!G6</f>
        <v>Single</v>
      </c>
      <c r="G6" t="str">
        <f>relationships!D18</f>
        <v>True</v>
      </c>
    </row>
    <row r="7" spans="1:7" x14ac:dyDescent="0.35">
      <c r="A7" t="str">
        <f>relationships!K19</f>
        <v>ds_presupuesto_mensual_especifico</v>
      </c>
      <c r="B7" t="str">
        <f>relationships!M19</f>
        <v>inicio_mes</v>
      </c>
      <c r="C7" t="str">
        <f>relationships!V7</f>
        <v>Many-to-One</v>
      </c>
      <c r="D7" t="str">
        <f>relationships!Q19</f>
        <v>Calendario</v>
      </c>
      <c r="E7" t="str">
        <f>relationships!S19</f>
        <v>Fecha</v>
      </c>
      <c r="F7" t="str">
        <f>relationships!G7</f>
        <v>Single</v>
      </c>
      <c r="G7" t="str">
        <f>relationships!D19</f>
        <v>True</v>
      </c>
    </row>
    <row r="8" spans="1:7" x14ac:dyDescent="0.35">
      <c r="A8" t="str">
        <f>relationships!K20</f>
        <v>ds_presupuesto_mensual_especifico</v>
      </c>
      <c r="B8" t="str">
        <f>relationships!M20</f>
        <v>id_presupuesto_mensual</v>
      </c>
      <c r="C8" t="str">
        <f>relationships!V8</f>
        <v>Many-to-One</v>
      </c>
      <c r="D8" t="str">
        <f>relationships!Q20</f>
        <v>fact_presupuesto</v>
      </c>
      <c r="E8" t="str">
        <f>relationships!S20</f>
        <v>id_presupuesto_mensual</v>
      </c>
      <c r="F8" t="str">
        <f>relationships!G8</f>
        <v>Single</v>
      </c>
      <c r="G8" t="str">
        <f>relationships!D20</f>
        <v>True</v>
      </c>
    </row>
    <row r="9" spans="1:7" x14ac:dyDescent="0.35">
      <c r="A9" t="str">
        <f>relationships!K21</f>
        <v>ds_presupuesto_mensual_regular_dinero</v>
      </c>
      <c r="B9" t="str">
        <f>relationships!M21</f>
        <v>id_presupuesto_mensual</v>
      </c>
      <c r="C9" t="str">
        <f>relationships!V9</f>
        <v>Many-to-One</v>
      </c>
      <c r="D9" t="str">
        <f>relationships!Q21</f>
        <v>fact_presupuesto</v>
      </c>
      <c r="E9" t="str">
        <f>relationships!S21</f>
        <v>id_presupuesto_mensual</v>
      </c>
      <c r="F9" t="str">
        <f>relationships!G9</f>
        <v>Single</v>
      </c>
      <c r="G9" t="str">
        <f>relationships!D21</f>
        <v>True</v>
      </c>
    </row>
    <row r="10" spans="1:7" x14ac:dyDescent="0.35">
      <c r="A10" t="str">
        <f>relationships!K22</f>
        <v>ds_viaje_tipo_cambio</v>
      </c>
      <c r="B10" t="str">
        <f>relationships!M22</f>
        <v>id</v>
      </c>
      <c r="C10" t="str">
        <f>relationships!V10</f>
        <v>Many-to-One</v>
      </c>
      <c r="D10" t="str">
        <f>relationships!Q22</f>
        <v>fact_c_diaria</v>
      </c>
      <c r="E10" t="str">
        <f>relationships!S22</f>
        <v>id</v>
      </c>
      <c r="F10" t="str">
        <f>relationships!G10</f>
        <v>Single</v>
      </c>
      <c r="G10" t="str">
        <f>relationships!D22</f>
        <v>True</v>
      </c>
    </row>
    <row r="11" spans="1:7" x14ac:dyDescent="0.35">
      <c r="A11" t="str">
        <f>relationships!K23</f>
        <v>ds_creditos_periodo</v>
      </c>
      <c r="B11" t="str">
        <f>relationships!M23</f>
        <v>id</v>
      </c>
      <c r="C11" t="str">
        <f>relationships!V11</f>
        <v>Many-to-One</v>
      </c>
      <c r="D11" t="str">
        <f>relationships!Q23</f>
        <v>fact_c_diaria</v>
      </c>
      <c r="E11" t="str">
        <f>relationships!S23</f>
        <v>id</v>
      </c>
      <c r="F11" t="str">
        <f>relationships!G11</f>
        <v>Single</v>
      </c>
      <c r="G11" t="str">
        <f>relationships!D23</f>
        <v>True</v>
      </c>
    </row>
    <row r="12" spans="1:7" x14ac:dyDescent="0.35">
      <c r="A12" t="str">
        <f>relationships!K24</f>
        <v>ds_inversiones_movimientos</v>
      </c>
      <c r="B12" t="str">
        <f>relationships!M24</f>
        <v>id</v>
      </c>
      <c r="C12" t="str">
        <f>relationships!V12</f>
        <v>Many-to-One</v>
      </c>
      <c r="D12" t="str">
        <f>relationships!Q24</f>
        <v>fact_c_diaria</v>
      </c>
      <c r="E12" t="str">
        <f>relationships!S24</f>
        <v>id</v>
      </c>
      <c r="F12" t="str">
        <f>relationships!G12</f>
        <v>Single</v>
      </c>
      <c r="G12" t="str">
        <f>relationships!D24</f>
        <v>True</v>
      </c>
    </row>
    <row r="13" spans="1:7" x14ac:dyDescent="0.35">
      <c r="A13" t="str">
        <f>relationships!K25</f>
        <v>ds_deuda_id</v>
      </c>
      <c r="B13" t="str">
        <f>relationships!M25</f>
        <v>id</v>
      </c>
      <c r="C13" t="str">
        <f>relationships!V13</f>
        <v>Many-to-One</v>
      </c>
      <c r="D13" t="str">
        <f>relationships!Q25</f>
        <v>fact_c_diaria</v>
      </c>
      <c r="E13" t="str">
        <f>relationships!S25</f>
        <v>id</v>
      </c>
      <c r="F13" t="str">
        <f>relationships!G13</f>
        <v>Single</v>
      </c>
      <c r="G13" t="str">
        <f>relationships!D25</f>
        <v>True</v>
      </c>
    </row>
    <row r="14" spans="1:7" x14ac:dyDescent="0.35">
      <c r="A14" t="str">
        <f>relationships!K27</f>
        <v>ds_presupuesto_especifico</v>
      </c>
      <c r="B14" t="str">
        <f>relationships!M27</f>
        <v>id</v>
      </c>
      <c r="C14" t="str">
        <f>relationships!V15</f>
        <v>Many-to-One</v>
      </c>
      <c r="D14" t="str">
        <f>relationships!Q27</f>
        <v>fact_c_diaria</v>
      </c>
      <c r="E14" t="str">
        <f>relationships!S27</f>
        <v>id</v>
      </c>
      <c r="F14" t="str">
        <f>relationships!G15</f>
        <v>Single</v>
      </c>
      <c r="G14" t="str">
        <f>relationships!D27</f>
        <v>True</v>
      </c>
    </row>
    <row r="15" spans="1:7" x14ac:dyDescent="0.35">
      <c r="A15" t="str">
        <f>relationships!K28</f>
        <v>ds_viaje_id</v>
      </c>
      <c r="B15" t="str">
        <f>relationships!M28</f>
        <v>id</v>
      </c>
      <c r="C15" t="str">
        <f>relationships!V16</f>
        <v>Many-to-One</v>
      </c>
      <c r="D15" t="str">
        <f>relationships!Q28</f>
        <v>fact_c_diaria</v>
      </c>
      <c r="E15" t="str">
        <f>relationships!S28</f>
        <v>id</v>
      </c>
      <c r="F15" t="str">
        <f>relationships!G16</f>
        <v>Single</v>
      </c>
      <c r="G15" t="str">
        <f>relationships!D28</f>
        <v>True</v>
      </c>
    </row>
    <row r="16" spans="1:7" x14ac:dyDescent="0.35">
      <c r="A16" t="str">
        <f>relationships!K29</f>
        <v>ds_deuda_id</v>
      </c>
      <c r="B16" t="str">
        <f>relationships!M29</f>
        <v>id_deuda</v>
      </c>
      <c r="C16" t="str">
        <f>relationships!V17</f>
        <v>Many-to-One</v>
      </c>
      <c r="D16" t="str">
        <f>relationships!Q29</f>
        <v>dim_id_deuda</v>
      </c>
      <c r="E16" t="str">
        <f>relationships!S29</f>
        <v>id_deuda</v>
      </c>
      <c r="F16" t="str">
        <f>relationships!G17</f>
        <v>Single</v>
      </c>
      <c r="G16" t="str">
        <f>relationships!D29</f>
        <v>True</v>
      </c>
    </row>
    <row r="17" spans="1:7" x14ac:dyDescent="0.35">
      <c r="A17" t="str">
        <f>relationships!K30</f>
        <v>ds_deuda_id</v>
      </c>
      <c r="B17" t="str">
        <f>relationships!M30</f>
        <v>nombre_deudor</v>
      </c>
      <c r="C17" t="str">
        <f>relationships!V18</f>
        <v>Many-to-One</v>
      </c>
      <c r="D17" t="str">
        <f>relationships!Q30</f>
        <v>dim_deuda_nombre</v>
      </c>
      <c r="E17" t="str">
        <f>relationships!S30</f>
        <v>nombre_deudor</v>
      </c>
      <c r="F17" t="str">
        <f>relationships!G18</f>
        <v>Single</v>
      </c>
      <c r="G17" t="str">
        <f>relationships!D30</f>
        <v>True</v>
      </c>
    </row>
    <row r="18" spans="1:7" x14ac:dyDescent="0.35">
      <c r="A18" t="str">
        <f>relationships!K31</f>
        <v>ds_creditos_periodo</v>
      </c>
      <c r="B18" t="str">
        <f>relationships!M31</f>
        <v>tipo_credito</v>
      </c>
      <c r="C18" t="str">
        <f>relationships!V19</f>
        <v>Many-to-One</v>
      </c>
      <c r="D18" t="str">
        <f>relationships!Q31</f>
        <v>dim_tipo_credito</v>
      </c>
      <c r="E18" t="str">
        <f>relationships!S31</f>
        <v>tipo_credito</v>
      </c>
      <c r="F18" t="str">
        <f>relationships!G19</f>
        <v>Single</v>
      </c>
      <c r="G18" t="str">
        <f>relationships!D31</f>
        <v>True</v>
      </c>
    </row>
    <row r="19" spans="1:7" x14ac:dyDescent="0.35">
      <c r="A19" t="str">
        <f>relationships!K32</f>
        <v>ds_inversiones_movimientos</v>
      </c>
      <c r="B19" t="str">
        <f>relationships!M32</f>
        <v>categoria_movimiento</v>
      </c>
      <c r="C19" t="str">
        <f>relationships!V20</f>
        <v>Many-to-One</v>
      </c>
      <c r="D19" t="str">
        <f>relationships!Q32</f>
        <v>dim_categoria_movimiento</v>
      </c>
      <c r="E19" t="str">
        <f>relationships!S32</f>
        <v>categoria_movimiento</v>
      </c>
      <c r="F19" t="str">
        <f>relationships!G20</f>
        <v>Single</v>
      </c>
      <c r="G19" t="str">
        <f>relationships!D32</f>
        <v>True</v>
      </c>
    </row>
    <row r="20" spans="1:7" x14ac:dyDescent="0.35">
      <c r="A20" t="str">
        <f>relationships!K33</f>
        <v>ds_inversiones_movimientos</v>
      </c>
      <c r="B20" t="str">
        <f>relationships!M33</f>
        <v>tipo_inversion_detectado</v>
      </c>
      <c r="C20" t="str">
        <f>relationships!V21</f>
        <v>Many-to-One</v>
      </c>
      <c r="D20" t="str">
        <f>relationships!Q33</f>
        <v>dim_tipo_inversion</v>
      </c>
      <c r="E20" t="str">
        <f>relationships!S33</f>
        <v>tipo_inversion</v>
      </c>
      <c r="F20" t="str">
        <f>relationships!G21</f>
        <v>Single</v>
      </c>
      <c r="G20" t="str">
        <f>relationships!D33</f>
        <v>True</v>
      </c>
    </row>
    <row r="21" spans="1:7" x14ac:dyDescent="0.35">
      <c r="A21" t="str">
        <f>relationships!K34</f>
        <v>ds_viaje_id</v>
      </c>
      <c r="B21" t="str">
        <f>relationships!M34</f>
        <v>id_viaje</v>
      </c>
      <c r="C21" t="str">
        <f>relationships!V22</f>
        <v>Many-to-One</v>
      </c>
      <c r="D21" t="str">
        <f>relationships!Q34</f>
        <v>dim_id_viajes</v>
      </c>
      <c r="E21" t="str">
        <f>relationships!S34</f>
        <v>id_viaje</v>
      </c>
      <c r="F21" t="str">
        <f>relationships!G22</f>
        <v>Single</v>
      </c>
      <c r="G21" t="str">
        <f>relationships!D34</f>
        <v>True</v>
      </c>
    </row>
    <row r="22" spans="1:7" x14ac:dyDescent="0.35">
      <c r="A22" t="str">
        <f>relationships!K35</f>
        <v>ds_viaje_id</v>
      </c>
      <c r="B22" t="str">
        <f>relationships!M35</f>
        <v>grupo_viaje</v>
      </c>
      <c r="C22" t="str">
        <f>relationships!V23</f>
        <v>Many-to-One</v>
      </c>
      <c r="D22" t="str">
        <f>relationships!Q35</f>
        <v>dim_viajes_grupo</v>
      </c>
      <c r="E22" t="str">
        <f>relationships!S35</f>
        <v>grupo_viaje</v>
      </c>
      <c r="F22" t="str">
        <f>relationships!G23</f>
        <v>Single</v>
      </c>
      <c r="G22" t="str">
        <f>relationships!D35</f>
        <v>True</v>
      </c>
    </row>
    <row r="23" spans="1:7" x14ac:dyDescent="0.35">
      <c r="A23" t="str">
        <f>relationships!K36</f>
        <v>ds_viajes_url</v>
      </c>
      <c r="B23" t="str">
        <f>relationships!M36</f>
        <v>id_viaje</v>
      </c>
      <c r="C23" t="str">
        <f>relationships!V24</f>
        <v>Many-to-One</v>
      </c>
      <c r="D23" t="str">
        <f>relationships!Q36</f>
        <v>dim_id_viajes</v>
      </c>
      <c r="E23" t="str">
        <f>relationships!S36</f>
        <v>id_viaje</v>
      </c>
      <c r="F23" t="str">
        <f>relationships!G24</f>
        <v>Single</v>
      </c>
      <c r="G23" t="str">
        <f>relationships!D36</f>
        <v>True</v>
      </c>
    </row>
    <row r="24" spans="1:7" x14ac:dyDescent="0.35">
      <c r="A24" t="str">
        <f>relationships!K37</f>
        <v>ds_presupuesto_especifico</v>
      </c>
      <c r="B24" t="str">
        <f>relationships!M37</f>
        <v>id_presupuesto</v>
      </c>
      <c r="C24" t="str">
        <f>relationships!V25</f>
        <v>Many-to-One</v>
      </c>
      <c r="D24" t="str">
        <f>relationships!Q37</f>
        <v>dim_id_presupuesto</v>
      </c>
      <c r="E24" t="str">
        <f>relationships!S37</f>
        <v>id_presupuesto</v>
      </c>
      <c r="F24" t="str">
        <f>relationships!G25</f>
        <v>Single</v>
      </c>
      <c r="G24" t="str">
        <f>relationships!D37</f>
        <v>True</v>
      </c>
    </row>
    <row r="25" spans="1:7" x14ac:dyDescent="0.35">
      <c r="A25" t="str">
        <f>relationships!K38</f>
        <v>fact_presupuesto</v>
      </c>
      <c r="B25" t="str">
        <f>relationships!M38</f>
        <v>razon_uso</v>
      </c>
      <c r="C25" t="str">
        <f>relationships!V26</f>
        <v>Many-to-One</v>
      </c>
      <c r="D25" t="str">
        <f>relationships!Q38</f>
        <v>dim_razon_uso</v>
      </c>
      <c r="E25" t="str">
        <f>relationships!S38</f>
        <v>razon_uso</v>
      </c>
      <c r="F25" t="str">
        <f>relationships!G26</f>
        <v>Single</v>
      </c>
      <c r="G25" t="str">
        <f>relationships!D38</f>
        <v>True</v>
      </c>
    </row>
    <row r="26" spans="1:7" x14ac:dyDescent="0.35">
      <c r="A26" t="str">
        <f>relationships!K39</f>
        <v>fact_c_diaria</v>
      </c>
      <c r="B26" t="str">
        <f>relationships!M39</f>
        <v>razon_uso</v>
      </c>
      <c r="C26" t="str">
        <f>relationships!V27</f>
        <v>Many-to-One</v>
      </c>
      <c r="D26" t="str">
        <f>relationships!Q39</f>
        <v>dim_razon_uso</v>
      </c>
      <c r="E26" t="str">
        <f>relationships!S39</f>
        <v>razon_uso</v>
      </c>
      <c r="F26" t="str">
        <f>relationships!G27</f>
        <v>Single</v>
      </c>
      <c r="G26" t="str">
        <f>relationships!D39</f>
        <v>True</v>
      </c>
    </row>
    <row r="27" spans="1:7" x14ac:dyDescent="0.35">
      <c r="A27" t="str">
        <f>relationships!K40</f>
        <v>fact_presupuesto</v>
      </c>
      <c r="B27" t="str">
        <f>relationships!M40</f>
        <v>id_presupuesto</v>
      </c>
      <c r="C27" t="str">
        <f>relationships!V28</f>
        <v>Many-to-One</v>
      </c>
      <c r="D27" t="str">
        <f>relationships!Q40</f>
        <v>dim_id_presupuesto</v>
      </c>
      <c r="E27" t="str">
        <f>relationships!S40</f>
        <v>id_presupuesto</v>
      </c>
      <c r="F27" t="str">
        <f>relationships!G28</f>
        <v>Single</v>
      </c>
      <c r="G27" t="str">
        <f>relationships!D40</f>
        <v>True</v>
      </c>
    </row>
    <row r="28" spans="1:7" x14ac:dyDescent="0.35">
      <c r="A28" t="str">
        <f>relationships!K41</f>
        <v>fact_c_diaria</v>
      </c>
      <c r="B28" t="str">
        <f>relationships!M41</f>
        <v>metodo_pago_general</v>
      </c>
      <c r="C28" t="str">
        <f>relationships!V29</f>
        <v>Many-to-One</v>
      </c>
      <c r="D28" t="str">
        <f>relationships!Q41</f>
        <v>dim_metodo_pago_general</v>
      </c>
      <c r="E28" t="str">
        <f>relationships!S41</f>
        <v>metodo_pago_general</v>
      </c>
      <c r="F28" t="str">
        <f>relationships!G29</f>
        <v>Single</v>
      </c>
      <c r="G28" t="str">
        <f>relationships!D41</f>
        <v>True</v>
      </c>
    </row>
    <row r="29" spans="1:7" x14ac:dyDescent="0.35">
      <c r="A29" t="str">
        <f>relationships!K42</f>
        <v>fact_creditos</v>
      </c>
      <c r="B29" t="str">
        <f>relationships!M42</f>
        <v>metodo_pago_general</v>
      </c>
      <c r="C29" t="str">
        <f>relationships!V30</f>
        <v>Many-to-One</v>
      </c>
      <c r="D29" t="str">
        <f>relationships!Q42</f>
        <v>dim_metodo_pago_general</v>
      </c>
      <c r="E29" t="str">
        <f>relationships!S42</f>
        <v>metodo_pago_general</v>
      </c>
      <c r="F29" t="str">
        <f>relationships!G30</f>
        <v>Single</v>
      </c>
      <c r="G29" t="str">
        <f>relationships!D42</f>
        <v>True</v>
      </c>
    </row>
    <row r="30" spans="1:7" x14ac:dyDescent="0.35">
      <c r="A30" t="str">
        <f>relationships!K43</f>
        <v>dim_id_viajes</v>
      </c>
      <c r="B30" t="str">
        <f>relationships!M43</f>
        <v>ubicacion_viajes</v>
      </c>
      <c r="C30" t="str">
        <f>relationships!V31</f>
        <v>Many-to-One</v>
      </c>
      <c r="D30" t="str">
        <f>relationships!Q43</f>
        <v>dim_geografia</v>
      </c>
      <c r="E30" t="str">
        <f>relationships!S43</f>
        <v>ubicacion_viajes</v>
      </c>
      <c r="F30" t="str">
        <f>relationships!G31</f>
        <v>Single</v>
      </c>
      <c r="G30" t="str">
        <f>relationships!D43</f>
        <v>True</v>
      </c>
    </row>
  </sheetData>
  <autoFilter ref="A1:G30" xr:uid="{28DB166A-819A-4FB0-9CE1-986F3EB5333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D64B-4D44-4397-8355-D55A3D5C56EF}">
  <sheetPr filterMode="1"/>
  <dimension ref="A1:H41"/>
  <sheetViews>
    <sheetView tabSelected="1" workbookViewId="0">
      <pane ySplit="1" topLeftCell="A25" activePane="bottomLeft" state="frozen"/>
      <selection pane="bottomLeft" activeCell="F26" sqref="F26"/>
    </sheetView>
  </sheetViews>
  <sheetFormatPr baseColWidth="10" defaultRowHeight="14.5" x14ac:dyDescent="0.35"/>
  <cols>
    <col min="1" max="1" width="36.26953125" bestFit="1" customWidth="1"/>
    <col min="2" max="2" width="22.36328125" customWidth="1"/>
    <col min="3" max="3" width="11.81640625" customWidth="1"/>
    <col min="4" max="4" width="24" bestFit="1" customWidth="1"/>
    <col min="5" max="5" width="22.36328125" bestFit="1" customWidth="1"/>
    <col min="6" max="6" width="20" bestFit="1" customWidth="1"/>
    <col min="7" max="7" width="7.36328125" bestFit="1" customWidth="1"/>
  </cols>
  <sheetData>
    <row r="1" spans="1:8" x14ac:dyDescent="0.35">
      <c r="A1" t="s">
        <v>476</v>
      </c>
      <c r="B1" t="s">
        <v>477</v>
      </c>
      <c r="C1" t="s">
        <v>527</v>
      </c>
      <c r="D1" t="s">
        <v>479</v>
      </c>
      <c r="E1" t="s">
        <v>480</v>
      </c>
      <c r="F1" t="s">
        <v>473</v>
      </c>
      <c r="G1" t="s">
        <v>472</v>
      </c>
      <c r="H1" s="6" t="s">
        <v>241</v>
      </c>
    </row>
    <row r="2" spans="1:8" hidden="1" x14ac:dyDescent="0.35">
      <c r="A2" t="s">
        <v>50</v>
      </c>
      <c r="B2" t="s">
        <v>239</v>
      </c>
      <c r="C2" t="s">
        <v>529</v>
      </c>
      <c r="D2" t="s">
        <v>90</v>
      </c>
      <c r="E2" t="s">
        <v>405</v>
      </c>
      <c r="F2" t="s">
        <v>530</v>
      </c>
      <c r="G2" t="s">
        <v>32</v>
      </c>
      <c r="H2" t="str">
        <f>IF(OR(ISNUMBER(SEARCH($H$1,A2)),ISNUMBER(SEARCH($H$1,D2))),"Si","No")</f>
        <v>No</v>
      </c>
    </row>
    <row r="3" spans="1:8" hidden="1" x14ac:dyDescent="0.35">
      <c r="A3" t="s">
        <v>52</v>
      </c>
      <c r="B3" t="s">
        <v>531</v>
      </c>
      <c r="C3" t="s">
        <v>529</v>
      </c>
      <c r="D3" t="s">
        <v>90</v>
      </c>
      <c r="E3" t="s">
        <v>405</v>
      </c>
      <c r="F3" t="s">
        <v>530</v>
      </c>
      <c r="G3" t="s">
        <v>32</v>
      </c>
      <c r="H3" t="str">
        <f t="shared" ref="H3:H30" si="0">IF(OR(ISNUMBER(SEARCH($H$1,A3)),ISNUMBER(SEARCH($H$1,D3))),"Si","No")</f>
        <v>No</v>
      </c>
    </row>
    <row r="4" spans="1:8" hidden="1" x14ac:dyDescent="0.35">
      <c r="A4" t="s">
        <v>58</v>
      </c>
      <c r="B4" t="s">
        <v>293</v>
      </c>
      <c r="C4" t="s">
        <v>529</v>
      </c>
      <c r="D4" t="s">
        <v>90</v>
      </c>
      <c r="E4" t="s">
        <v>405</v>
      </c>
      <c r="F4" t="s">
        <v>530</v>
      </c>
      <c r="G4" t="s">
        <v>32</v>
      </c>
      <c r="H4" t="str">
        <f t="shared" si="0"/>
        <v>No</v>
      </c>
    </row>
    <row r="5" spans="1:8" hidden="1" x14ac:dyDescent="0.35">
      <c r="A5" t="s">
        <v>60</v>
      </c>
      <c r="B5" t="s">
        <v>306</v>
      </c>
      <c r="C5" t="s">
        <v>529</v>
      </c>
      <c r="D5" t="s">
        <v>90</v>
      </c>
      <c r="E5" t="s">
        <v>405</v>
      </c>
      <c r="F5" t="s">
        <v>530</v>
      </c>
      <c r="G5" t="s">
        <v>32</v>
      </c>
      <c r="H5" t="str">
        <f t="shared" si="0"/>
        <v>No</v>
      </c>
    </row>
    <row r="6" spans="1:8" hidden="1" x14ac:dyDescent="0.35">
      <c r="A6" t="s">
        <v>100</v>
      </c>
      <c r="B6" t="s">
        <v>464</v>
      </c>
      <c r="C6" t="s">
        <v>529</v>
      </c>
      <c r="D6" t="s">
        <v>90</v>
      </c>
      <c r="E6" t="s">
        <v>405</v>
      </c>
      <c r="F6" t="s">
        <v>530</v>
      </c>
      <c r="G6" t="s">
        <v>32</v>
      </c>
      <c r="H6" t="str">
        <f t="shared" si="0"/>
        <v>No</v>
      </c>
    </row>
    <row r="7" spans="1:8" hidden="1" x14ac:dyDescent="0.35">
      <c r="A7" t="s">
        <v>98</v>
      </c>
      <c r="B7" t="s">
        <v>314</v>
      </c>
      <c r="C7" t="s">
        <v>529</v>
      </c>
      <c r="D7" t="s">
        <v>90</v>
      </c>
      <c r="E7" t="s">
        <v>405</v>
      </c>
      <c r="F7" t="s">
        <v>530</v>
      </c>
      <c r="G7" t="s">
        <v>32</v>
      </c>
      <c r="H7" t="str">
        <f t="shared" si="0"/>
        <v>No</v>
      </c>
    </row>
    <row r="8" spans="1:8" hidden="1" x14ac:dyDescent="0.35">
      <c r="A8" t="s">
        <v>98</v>
      </c>
      <c r="B8" t="s">
        <v>312</v>
      </c>
      <c r="C8" t="s">
        <v>529</v>
      </c>
      <c r="D8" t="s">
        <v>62</v>
      </c>
      <c r="E8" t="s">
        <v>312</v>
      </c>
      <c r="F8" t="s">
        <v>530</v>
      </c>
      <c r="G8" t="s">
        <v>32</v>
      </c>
      <c r="H8" t="str">
        <f t="shared" si="0"/>
        <v>No</v>
      </c>
    </row>
    <row r="9" spans="1:8" hidden="1" x14ac:dyDescent="0.35">
      <c r="A9" t="s">
        <v>100</v>
      </c>
      <c r="B9" t="s">
        <v>312</v>
      </c>
      <c r="C9" t="s">
        <v>529</v>
      </c>
      <c r="D9" t="s">
        <v>62</v>
      </c>
      <c r="E9" t="s">
        <v>312</v>
      </c>
      <c r="F9" t="s">
        <v>530</v>
      </c>
      <c r="G9" t="s">
        <v>32</v>
      </c>
      <c r="H9" t="str">
        <f t="shared" si="0"/>
        <v>No</v>
      </c>
    </row>
    <row r="10" spans="1:8" hidden="1" x14ac:dyDescent="0.35">
      <c r="A10" t="s">
        <v>84</v>
      </c>
      <c r="B10" t="s">
        <v>136</v>
      </c>
      <c r="C10" t="s">
        <v>529</v>
      </c>
      <c r="D10" t="s">
        <v>50</v>
      </c>
      <c r="E10" t="s">
        <v>136</v>
      </c>
      <c r="F10" t="s">
        <v>530</v>
      </c>
      <c r="G10" t="s">
        <v>32</v>
      </c>
      <c r="H10" t="str">
        <f t="shared" si="0"/>
        <v>No</v>
      </c>
    </row>
    <row r="11" spans="1:8" hidden="1" x14ac:dyDescent="0.35">
      <c r="A11" t="s">
        <v>50</v>
      </c>
      <c r="B11" t="s">
        <v>136</v>
      </c>
      <c r="C11" t="s">
        <v>529</v>
      </c>
      <c r="D11" t="s">
        <v>25</v>
      </c>
      <c r="E11" t="s">
        <v>136</v>
      </c>
      <c r="F11" t="s">
        <v>530</v>
      </c>
      <c r="G11" t="s">
        <v>32</v>
      </c>
      <c r="H11" t="str">
        <f>IF(OR(ISNUMBER(SEARCH($H$1,D11)),ISNUMBER(SEARCH($H$1,#REF!))),"Si","No")</f>
        <v>No</v>
      </c>
    </row>
    <row r="12" spans="1:8" hidden="1" x14ac:dyDescent="0.35">
      <c r="A12" t="s">
        <v>50</v>
      </c>
      <c r="B12" t="s">
        <v>136</v>
      </c>
      <c r="C12" t="s">
        <v>529</v>
      </c>
      <c r="D12" t="s">
        <v>46</v>
      </c>
      <c r="E12" t="s">
        <v>136</v>
      </c>
      <c r="F12" t="s">
        <v>530</v>
      </c>
      <c r="G12" t="s">
        <v>32</v>
      </c>
      <c r="H12" t="str">
        <f t="shared" si="0"/>
        <v>No</v>
      </c>
    </row>
    <row r="13" spans="1:8" hidden="1" x14ac:dyDescent="0.35">
      <c r="A13" t="s">
        <v>50</v>
      </c>
      <c r="B13" t="s">
        <v>136</v>
      </c>
      <c r="C13" t="s">
        <v>529</v>
      </c>
      <c r="D13" t="s">
        <v>36</v>
      </c>
      <c r="E13" t="s">
        <v>136</v>
      </c>
      <c r="F13" t="s">
        <v>530</v>
      </c>
      <c r="G13" t="s">
        <v>32</v>
      </c>
      <c r="H13" t="str">
        <f t="shared" si="0"/>
        <v>No</v>
      </c>
    </row>
    <row r="14" spans="1:8" hidden="1" x14ac:dyDescent="0.35">
      <c r="A14" t="s">
        <v>50</v>
      </c>
      <c r="B14" t="s">
        <v>136</v>
      </c>
      <c r="C14" t="s">
        <v>529</v>
      </c>
      <c r="D14" t="s">
        <v>528</v>
      </c>
      <c r="E14" t="s">
        <v>136</v>
      </c>
      <c r="F14" t="s">
        <v>535</v>
      </c>
      <c r="G14" t="s">
        <v>32</v>
      </c>
      <c r="H14" t="str">
        <f>IF(OR(ISNUMBER(SEARCH($H$1,D14)),ISNUMBER(SEARCH($H$1,#REF!))),"Si","No")</f>
        <v>No</v>
      </c>
    </row>
    <row r="15" spans="1:8" hidden="1" x14ac:dyDescent="0.35">
      <c r="A15" t="s">
        <v>88</v>
      </c>
      <c r="B15" t="s">
        <v>136</v>
      </c>
      <c r="C15" t="s">
        <v>529</v>
      </c>
      <c r="D15" t="s">
        <v>50</v>
      </c>
      <c r="E15" t="s">
        <v>136</v>
      </c>
      <c r="F15" t="s">
        <v>530</v>
      </c>
      <c r="G15" t="s">
        <v>32</v>
      </c>
      <c r="H15" t="str">
        <f t="shared" si="0"/>
        <v>No</v>
      </c>
    </row>
    <row r="16" spans="1:8" hidden="1" x14ac:dyDescent="0.35">
      <c r="A16" t="s">
        <v>36</v>
      </c>
      <c r="B16" t="s">
        <v>155</v>
      </c>
      <c r="C16" t="s">
        <v>529</v>
      </c>
      <c r="D16" t="s">
        <v>29</v>
      </c>
      <c r="E16" t="s">
        <v>155</v>
      </c>
      <c r="F16" t="s">
        <v>530</v>
      </c>
      <c r="G16" t="s">
        <v>32</v>
      </c>
      <c r="H16" t="str">
        <f t="shared" si="0"/>
        <v>No</v>
      </c>
    </row>
    <row r="17" spans="1:8" hidden="1" x14ac:dyDescent="0.35">
      <c r="A17" t="s">
        <v>36</v>
      </c>
      <c r="B17" t="s">
        <v>153</v>
      </c>
      <c r="C17" t="s">
        <v>529</v>
      </c>
      <c r="D17" t="s">
        <v>27</v>
      </c>
      <c r="E17" t="s">
        <v>153</v>
      </c>
      <c r="F17" t="s">
        <v>535</v>
      </c>
      <c r="G17" t="s">
        <v>32</v>
      </c>
      <c r="H17" t="str">
        <f t="shared" si="0"/>
        <v>No</v>
      </c>
    </row>
    <row r="18" spans="1:8" hidden="1" x14ac:dyDescent="0.35">
      <c r="A18" t="s">
        <v>25</v>
      </c>
      <c r="B18" t="s">
        <v>151</v>
      </c>
      <c r="C18" t="s">
        <v>529</v>
      </c>
      <c r="D18" t="s">
        <v>38</v>
      </c>
      <c r="E18" t="s">
        <v>151</v>
      </c>
      <c r="F18" t="s">
        <v>530</v>
      </c>
      <c r="G18" t="s">
        <v>32</v>
      </c>
      <c r="H18" t="str">
        <f t="shared" si="0"/>
        <v>No</v>
      </c>
    </row>
    <row r="19" spans="1:8" hidden="1" x14ac:dyDescent="0.35">
      <c r="A19" t="s">
        <v>46</v>
      </c>
      <c r="B19" t="s">
        <v>233</v>
      </c>
      <c r="C19" t="s">
        <v>529</v>
      </c>
      <c r="D19" t="s">
        <v>233</v>
      </c>
      <c r="E19" t="s">
        <v>235</v>
      </c>
      <c r="F19" t="s">
        <v>535</v>
      </c>
      <c r="G19" t="s">
        <v>32</v>
      </c>
      <c r="H19" t="str">
        <f t="shared" si="0"/>
        <v>No</v>
      </c>
    </row>
    <row r="20" spans="1:8" hidden="1" x14ac:dyDescent="0.35">
      <c r="A20" t="s">
        <v>58</v>
      </c>
      <c r="B20" t="s">
        <v>289</v>
      </c>
      <c r="C20" t="s">
        <v>529</v>
      </c>
      <c r="D20" t="s">
        <v>68</v>
      </c>
      <c r="E20" t="s">
        <v>289</v>
      </c>
      <c r="F20" t="s">
        <v>530</v>
      </c>
      <c r="G20" t="s">
        <v>32</v>
      </c>
      <c r="H20" t="str">
        <f t="shared" si="0"/>
        <v>No</v>
      </c>
    </row>
    <row r="21" spans="1:8" hidden="1" x14ac:dyDescent="0.35">
      <c r="A21" t="s">
        <v>88</v>
      </c>
      <c r="B21" t="s">
        <v>252</v>
      </c>
      <c r="C21" t="s">
        <v>529</v>
      </c>
      <c r="D21" t="s">
        <v>76</v>
      </c>
      <c r="E21" t="s">
        <v>252</v>
      </c>
      <c r="F21" t="s">
        <v>530</v>
      </c>
      <c r="G21" t="s">
        <v>32</v>
      </c>
      <c r="H21" t="str">
        <f t="shared" si="0"/>
        <v>No</v>
      </c>
    </row>
    <row r="22" spans="1:8" hidden="1" x14ac:dyDescent="0.35">
      <c r="A22" t="s">
        <v>76</v>
      </c>
      <c r="B22" t="s">
        <v>140</v>
      </c>
      <c r="C22" t="s">
        <v>529</v>
      </c>
      <c r="D22" t="s">
        <v>40</v>
      </c>
      <c r="E22" t="s">
        <v>140</v>
      </c>
      <c r="F22" t="s">
        <v>530</v>
      </c>
      <c r="G22" t="s">
        <v>32</v>
      </c>
      <c r="H22" t="str">
        <f t="shared" si="0"/>
        <v>No</v>
      </c>
    </row>
    <row r="23" spans="1:8" hidden="1" x14ac:dyDescent="0.35">
      <c r="A23" t="s">
        <v>86</v>
      </c>
      <c r="B23" t="s">
        <v>252</v>
      </c>
      <c r="C23" t="s">
        <v>529</v>
      </c>
      <c r="D23" t="s">
        <v>76</v>
      </c>
      <c r="E23" t="s">
        <v>252</v>
      </c>
      <c r="F23" t="s">
        <v>530</v>
      </c>
      <c r="G23" t="s">
        <v>32</v>
      </c>
      <c r="H23" t="str">
        <f t="shared" si="0"/>
        <v>No</v>
      </c>
    </row>
    <row r="24" spans="1:8" hidden="1" x14ac:dyDescent="0.35">
      <c r="A24" t="s">
        <v>528</v>
      </c>
      <c r="B24" t="s">
        <v>143</v>
      </c>
      <c r="C24" t="s">
        <v>529</v>
      </c>
      <c r="D24" t="s">
        <v>74</v>
      </c>
      <c r="E24" t="s">
        <v>143</v>
      </c>
      <c r="F24" t="s">
        <v>530</v>
      </c>
      <c r="G24" t="s">
        <v>32</v>
      </c>
      <c r="H24" t="str">
        <f t="shared" si="0"/>
        <v>No</v>
      </c>
    </row>
    <row r="25" spans="1:8" x14ac:dyDescent="0.35">
      <c r="A25" t="s">
        <v>62</v>
      </c>
      <c r="B25" t="s">
        <v>241</v>
      </c>
      <c r="C25" t="s">
        <v>529</v>
      </c>
      <c r="D25" t="s">
        <v>70</v>
      </c>
      <c r="E25" t="s">
        <v>241</v>
      </c>
      <c r="F25" t="s">
        <v>530</v>
      </c>
      <c r="G25" t="s">
        <v>32</v>
      </c>
      <c r="H25" t="str">
        <f t="shared" si="0"/>
        <v>Si</v>
      </c>
    </row>
    <row r="26" spans="1:8" x14ac:dyDescent="0.35">
      <c r="A26" t="s">
        <v>50</v>
      </c>
      <c r="B26" t="s">
        <v>241</v>
      </c>
      <c r="C26" t="s">
        <v>529</v>
      </c>
      <c r="D26" t="s">
        <v>70</v>
      </c>
      <c r="E26" t="s">
        <v>241</v>
      </c>
      <c r="F26" t="s">
        <v>530</v>
      </c>
      <c r="G26" t="s">
        <v>32</v>
      </c>
      <c r="H26" t="str">
        <f t="shared" si="0"/>
        <v>Si</v>
      </c>
    </row>
    <row r="27" spans="1:8" hidden="1" x14ac:dyDescent="0.35">
      <c r="A27" t="s">
        <v>62</v>
      </c>
      <c r="B27" t="s">
        <v>143</v>
      </c>
      <c r="C27" t="s">
        <v>529</v>
      </c>
      <c r="D27" t="s">
        <v>74</v>
      </c>
      <c r="E27" t="s">
        <v>143</v>
      </c>
      <c r="F27" t="s">
        <v>530</v>
      </c>
      <c r="G27" t="s">
        <v>32</v>
      </c>
      <c r="H27" t="str">
        <f t="shared" si="0"/>
        <v>No</v>
      </c>
    </row>
    <row r="28" spans="1:8" hidden="1" x14ac:dyDescent="0.35">
      <c r="A28" t="s">
        <v>52</v>
      </c>
      <c r="B28" t="s">
        <v>257</v>
      </c>
      <c r="C28" t="s">
        <v>529</v>
      </c>
      <c r="D28" t="s">
        <v>82</v>
      </c>
      <c r="E28" t="s">
        <v>257</v>
      </c>
      <c r="F28" t="s">
        <v>530</v>
      </c>
      <c r="G28" t="s">
        <v>32</v>
      </c>
      <c r="H28" t="str">
        <f t="shared" si="0"/>
        <v>No</v>
      </c>
    </row>
    <row r="29" spans="1:8" hidden="1" x14ac:dyDescent="0.35">
      <c r="A29" t="s">
        <v>76</v>
      </c>
      <c r="B29" t="s">
        <v>346</v>
      </c>
      <c r="C29" t="s">
        <v>529</v>
      </c>
      <c r="D29" t="s">
        <v>72</v>
      </c>
      <c r="E29" t="s">
        <v>346</v>
      </c>
      <c r="F29" t="s">
        <v>535</v>
      </c>
      <c r="G29" t="s">
        <v>32</v>
      </c>
      <c r="H29" t="str">
        <f t="shared" si="0"/>
        <v>No</v>
      </c>
    </row>
    <row r="30" spans="1:8" hidden="1" x14ac:dyDescent="0.35">
      <c r="A30" t="s">
        <v>50</v>
      </c>
      <c r="B30" t="s">
        <v>136</v>
      </c>
      <c r="C30" t="s">
        <v>529</v>
      </c>
      <c r="D30" t="s">
        <v>534</v>
      </c>
      <c r="E30" t="s">
        <v>136</v>
      </c>
      <c r="F30" t="s">
        <v>530</v>
      </c>
      <c r="G30" t="s">
        <v>32</v>
      </c>
      <c r="H30" t="str">
        <f t="shared" si="0"/>
        <v>No</v>
      </c>
    </row>
    <row r="31" spans="1:8" hidden="1" x14ac:dyDescent="0.35">
      <c r="A31" t="s">
        <v>534</v>
      </c>
      <c r="B31" t="s">
        <v>533</v>
      </c>
      <c r="C31" t="s">
        <v>529</v>
      </c>
      <c r="D31" t="s">
        <v>532</v>
      </c>
      <c r="E31" t="s">
        <v>533</v>
      </c>
      <c r="F31" t="s">
        <v>530</v>
      </c>
      <c r="G31" t="s">
        <v>32</v>
      </c>
      <c r="H31" t="str">
        <f t="shared" ref="H31" si="1">IF(OR(ISNUMBER(SEARCH($H$1,A31)),ISNUMBER(SEARCH($H$1,D31))),"Si","No")</f>
        <v>No</v>
      </c>
    </row>
    <row r="32" spans="1:8" hidden="1" x14ac:dyDescent="0.35">
      <c r="A32" t="s">
        <v>534</v>
      </c>
      <c r="B32" t="s">
        <v>243</v>
      </c>
      <c r="C32" t="s">
        <v>529</v>
      </c>
      <c r="D32" t="s">
        <v>536</v>
      </c>
      <c r="E32" t="s">
        <v>243</v>
      </c>
      <c r="F32" t="s">
        <v>535</v>
      </c>
      <c r="G32" t="s">
        <v>32</v>
      </c>
      <c r="H32" t="str">
        <f t="shared" ref="H32:H33" si="2">IF(OR(ISNUMBER(SEARCH($H$1,A32)),ISNUMBER(SEARCH($H$1,D32))),"Si","No")</f>
        <v>No</v>
      </c>
    </row>
    <row r="33" spans="1:8" hidden="1" x14ac:dyDescent="0.35">
      <c r="A33" t="s">
        <v>50</v>
      </c>
      <c r="B33" t="s">
        <v>136</v>
      </c>
      <c r="C33" t="s">
        <v>529</v>
      </c>
      <c r="D33" t="s">
        <v>537</v>
      </c>
      <c r="E33" t="s">
        <v>136</v>
      </c>
      <c r="F33" t="s">
        <v>530</v>
      </c>
      <c r="G33" t="s">
        <v>32</v>
      </c>
      <c r="H33" t="str">
        <f t="shared" si="2"/>
        <v>No</v>
      </c>
    </row>
    <row r="34" spans="1:8" hidden="1" x14ac:dyDescent="0.35">
      <c r="A34" t="s">
        <v>537</v>
      </c>
      <c r="B34" t="s">
        <v>539</v>
      </c>
      <c r="C34" t="s">
        <v>529</v>
      </c>
      <c r="D34" t="s">
        <v>538</v>
      </c>
      <c r="E34" t="s">
        <v>539</v>
      </c>
      <c r="F34" t="s">
        <v>535</v>
      </c>
      <c r="G34" t="s">
        <v>32</v>
      </c>
      <c r="H34" t="str">
        <f t="shared" ref="H34" si="3">IF(OR(ISNUMBER(SEARCH($H$1,A34)),ISNUMBER(SEARCH($H$1,D34))),"Si","No")</f>
        <v>No</v>
      </c>
    </row>
    <row r="35" spans="1:8" hidden="1" x14ac:dyDescent="0.35">
      <c r="A35" t="s">
        <v>46</v>
      </c>
      <c r="B35" t="s">
        <v>235</v>
      </c>
      <c r="C35" t="s">
        <v>529</v>
      </c>
      <c r="D35" t="s">
        <v>48</v>
      </c>
      <c r="E35" t="s">
        <v>235</v>
      </c>
      <c r="F35" t="s">
        <v>535</v>
      </c>
      <c r="G35" t="s">
        <v>32</v>
      </c>
      <c r="H35" t="str">
        <f t="shared" ref="H35" si="4">IF(OR(ISNUMBER(SEARCH($H$1,A35)),ISNUMBER(SEARCH($H$1,D35))),"Si","No")</f>
        <v>No</v>
      </c>
    </row>
    <row r="36" spans="1:8" hidden="1" x14ac:dyDescent="0.35">
      <c r="A36" t="s">
        <v>540</v>
      </c>
      <c r="B36" t="s">
        <v>287</v>
      </c>
      <c r="C36" t="s">
        <v>529</v>
      </c>
      <c r="D36" t="s">
        <v>58</v>
      </c>
      <c r="E36" t="s">
        <v>287</v>
      </c>
      <c r="F36" t="s">
        <v>530</v>
      </c>
      <c r="G36" t="s">
        <v>32</v>
      </c>
      <c r="H36" t="str">
        <f t="shared" ref="H36:H37" si="5">IF(OR(ISNUMBER(SEARCH($H$1,A36)),ISNUMBER(SEARCH($H$1,D36))),"Si","No")</f>
        <v>No</v>
      </c>
    </row>
    <row r="37" spans="1:8" hidden="1" x14ac:dyDescent="0.35">
      <c r="A37" t="s">
        <v>84</v>
      </c>
      <c r="B37" t="s">
        <v>354</v>
      </c>
      <c r="C37" t="s">
        <v>529</v>
      </c>
      <c r="D37" t="s">
        <v>541</v>
      </c>
      <c r="E37" t="s">
        <v>354</v>
      </c>
      <c r="F37" t="s">
        <v>530</v>
      </c>
      <c r="G37" t="s">
        <v>32</v>
      </c>
      <c r="H37" t="str">
        <f t="shared" si="5"/>
        <v>No</v>
      </c>
    </row>
    <row r="38" spans="1:8" hidden="1" x14ac:dyDescent="0.35">
      <c r="A38" t="s">
        <v>84</v>
      </c>
      <c r="B38" t="s">
        <v>252</v>
      </c>
      <c r="C38" t="s">
        <v>529</v>
      </c>
      <c r="D38" t="s">
        <v>76</v>
      </c>
      <c r="E38" t="s">
        <v>252</v>
      </c>
      <c r="F38" t="s">
        <v>530</v>
      </c>
      <c r="G38" t="s">
        <v>32</v>
      </c>
      <c r="H38" t="str">
        <f t="shared" ref="H38:H41" si="6">IF(OR(ISNUMBER(SEARCH($H$1,A38)),ISNUMBER(SEARCH($H$1,D38))),"Si","No")</f>
        <v>No</v>
      </c>
    </row>
    <row r="39" spans="1:8" hidden="1" x14ac:dyDescent="0.35">
      <c r="A39" t="s">
        <v>25</v>
      </c>
      <c r="B39" t="s">
        <v>542</v>
      </c>
      <c r="C39" t="s">
        <v>529</v>
      </c>
      <c r="D39" t="s">
        <v>52</v>
      </c>
      <c r="E39" t="s">
        <v>542</v>
      </c>
      <c r="F39" t="s">
        <v>530</v>
      </c>
      <c r="G39" t="s">
        <v>32</v>
      </c>
      <c r="H39" t="str">
        <f t="shared" si="6"/>
        <v>No</v>
      </c>
    </row>
    <row r="40" spans="1:8" hidden="1" x14ac:dyDescent="0.35">
      <c r="A40" t="s">
        <v>50</v>
      </c>
      <c r="B40" t="s">
        <v>243</v>
      </c>
      <c r="C40" t="s">
        <v>529</v>
      </c>
      <c r="D40" t="s">
        <v>543</v>
      </c>
      <c r="E40" t="s">
        <v>243</v>
      </c>
      <c r="F40" t="s">
        <v>535</v>
      </c>
      <c r="G40" t="s">
        <v>32</v>
      </c>
      <c r="H40" t="str">
        <f t="shared" si="6"/>
        <v>No</v>
      </c>
    </row>
    <row r="41" spans="1:8" hidden="1" x14ac:dyDescent="0.35">
      <c r="A41" t="s">
        <v>537</v>
      </c>
      <c r="B41" t="s">
        <v>545</v>
      </c>
      <c r="C41" t="s">
        <v>529</v>
      </c>
      <c r="D41" t="s">
        <v>544</v>
      </c>
      <c r="E41" t="s">
        <v>545</v>
      </c>
      <c r="F41" t="s">
        <v>535</v>
      </c>
      <c r="G41" t="s">
        <v>32</v>
      </c>
      <c r="H41" t="str">
        <f t="shared" si="6"/>
        <v>No</v>
      </c>
    </row>
  </sheetData>
  <autoFilter ref="A1:H41" xr:uid="{F0C7D64B-4D44-4397-8355-D55A3D5C56EF}">
    <filterColumn colId="7">
      <filters>
        <filter val="Si"/>
      </filters>
    </filterColumn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tables</vt:lpstr>
      <vt:lpstr>columns</vt:lpstr>
      <vt:lpstr>relationships</vt:lpstr>
      <vt:lpstr>final_formulado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Larios Coronado</dc:creator>
  <cp:lastModifiedBy>Juan Carlos Larios Coronado</cp:lastModifiedBy>
  <dcterms:created xsi:type="dcterms:W3CDTF">2025-11-08T20:44:09Z</dcterms:created>
  <dcterms:modified xsi:type="dcterms:W3CDTF">2026-01-10T02:28:12Z</dcterms:modified>
</cp:coreProperties>
</file>