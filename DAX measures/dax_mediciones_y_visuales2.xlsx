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"/>
    </mc:Choice>
  </mc:AlternateContent>
  <xr:revisionPtr revIDLastSave="941" documentId="8_{C2FF80BB-8073-4B1C-993F-34180DEB7945}" xr6:coauthVersionLast="47" xr6:coauthVersionMax="47" xr10:uidLastSave="{0F1CA14A-43AE-4C2D-BD29-7960F7A7E84D}"/>
  <bookViews>
    <workbookView xWindow="32280" yWindow="-120" windowWidth="20640" windowHeight="11040" activeTab="1" xr2:uid="{1C0DA4A6-7E02-4B08-821D-CA4629138D18}"/>
  </bookViews>
  <sheets>
    <sheet name="tabla_dinamica" sheetId="6" r:id="rId1"/>
    <sheet name="Tabla2" sheetId="5" r:id="rId2"/>
  </sheets>
  <definedNames>
    <definedName name="_xlnm._FilterDatabase" localSheetId="1" hidden="1">Tabla2!$A$1:$P$71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5" l="1"/>
  <c r="F13" i="5"/>
  <c r="F29" i="5"/>
  <c r="F49" i="5"/>
  <c r="F32" i="5"/>
  <c r="F25" i="5"/>
  <c r="F19" i="5"/>
  <c r="F12" i="5"/>
  <c r="F18" i="5"/>
  <c r="F21" i="5"/>
  <c r="F22" i="5"/>
  <c r="F51" i="5"/>
  <c r="F28" i="5"/>
  <c r="F30" i="5"/>
  <c r="F6" i="5"/>
  <c r="F9" i="5"/>
  <c r="F10" i="5"/>
  <c r="F33" i="5"/>
  <c r="F14" i="5"/>
  <c r="F60" i="5"/>
  <c r="F69" i="5"/>
  <c r="F57" i="5"/>
  <c r="F54" i="5"/>
  <c r="F46" i="5"/>
  <c r="F7" i="5"/>
  <c r="F4" i="5"/>
  <c r="F8" i="5"/>
  <c r="F2" i="5"/>
  <c r="F31" i="5"/>
  <c r="F37" i="5"/>
  <c r="F43" i="5"/>
  <c r="F52" i="5"/>
  <c r="F5" i="5"/>
  <c r="F34" i="5"/>
  <c r="F53" i="5"/>
  <c r="F55" i="5"/>
  <c r="F47" i="5"/>
  <c r="F44" i="5"/>
  <c r="F48" i="5"/>
  <c r="F40" i="5"/>
  <c r="F70" i="5"/>
  <c r="F36" i="5"/>
  <c r="F3" i="5"/>
  <c r="F59" i="5"/>
  <c r="F58" i="5"/>
  <c r="F24" i="5"/>
  <c r="F61" i="5"/>
  <c r="F71" i="5"/>
  <c r="F50" i="5"/>
  <c r="F27" i="5"/>
  <c r="F65" i="5"/>
  <c r="F62" i="5"/>
  <c r="F39" i="5"/>
  <c r="F41" i="5"/>
  <c r="F56" i="5"/>
  <c r="F23" i="5"/>
  <c r="F45" i="5"/>
  <c r="F42" i="5"/>
  <c r="F20" i="5"/>
  <c r="F63" i="5"/>
  <c r="F17" i="5"/>
  <c r="F15" i="5"/>
  <c r="F35" i="5"/>
  <c r="F38" i="5"/>
  <c r="F67" i="5"/>
  <c r="F66" i="5"/>
  <c r="F68" i="5"/>
  <c r="F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9F7BE-BA79-448C-8F6E-999EA1C4622C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2" xr16:uid="{18745789-EB01-4A0D-9118-A67E8FFCC63D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  <connection id="3" xr16:uid="{3F63A914-D752-4238-9375-64483D075B89}" keepAlive="1" name="Consulta - Tabla1 (3)" description="Conexión a la consulta 'Tabla1 (3)' en el libro." type="5" refreshedVersion="8" background="1" saveData="1">
    <dbPr connection="Provider=Microsoft.Mashup.OleDb.1;Data Source=$Workbook$;Location=&quot;Tabla1 (3)&quot;;Extended Properties=&quot;&quot;" command="SELECT * FROM [Tabla1 (3)]"/>
  </connection>
  <connection id="4" xr16:uid="{9D0BFD20-0579-4234-B022-1099822F3E06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<sst xmlns="http://schemas.openxmlformats.org/spreadsheetml/2006/main" count="372" uniqueCount="199">
  <si>
    <t>Seleccion Fecha Corte</t>
  </si>
  <si>
    <t>Seleccion Fecha Inicio</t>
  </si>
  <si>
    <t>Credito Disponible</t>
  </si>
  <si>
    <t>[Limite Credito] + [Saldo credito]</t>
  </si>
  <si>
    <t>Restante para Gastar</t>
  </si>
  <si>
    <t>Monto Gastado (Visual)</t>
  </si>
  <si>
    <t>ABS([Monto Gastado Dinamico])</t>
  </si>
  <si>
    <t>Monto Presupuestado(Visual)</t>
  </si>
  <si>
    <t>ABS([Monto Presupuestado])</t>
  </si>
  <si>
    <t>Filtro Razon de Uso</t>
  </si>
  <si>
    <t>Filtro Ubicacion de Viaje</t>
  </si>
  <si>
    <t>Limite Credito</t>
  </si>
  <si>
    <t>Saldo Actual</t>
  </si>
  <si>
    <t>Saldo Credito</t>
  </si>
  <si>
    <t>Monto Mensual</t>
  </si>
  <si>
    <t>Total Presupuesto Especifico</t>
  </si>
  <si>
    <t>Meses de Sostenibilidad</t>
  </si>
  <si>
    <t>% Monto por inversiones</t>
  </si>
  <si>
    <t>ubicacion_completa</t>
  </si>
  <si>
    <t>Gasto Real Viajes</t>
  </si>
  <si>
    <t>SUM(c_diaria[monto])</t>
  </si>
  <si>
    <t>Monto Presupuestado</t>
  </si>
  <si>
    <t>Mostrar Descripcion</t>
  </si>
  <si>
    <t>Disponible antes del Limite</t>
  </si>
  <si>
    <t>Monto Gastado Dinamico</t>
  </si>
  <si>
    <t>Monto Reciente Por Acceso</t>
  </si>
  <si>
    <t>Monto Mes Anterior</t>
  </si>
  <si>
    <t>Diferencia Mensual</t>
  </si>
  <si>
    <t>Total Presupuesto Regular</t>
  </si>
  <si>
    <t>Mostrar Transaccion</t>
  </si>
  <si>
    <t>Monto Asociado</t>
  </si>
  <si>
    <t>Total Disponible Inversiones</t>
  </si>
  <si>
    <t>Resumen Estado Pago General</t>
  </si>
  <si>
    <t>Resumen Estado Pago Proximo Mes</t>
  </si>
  <si>
    <t>Diferencia Periodo Seleccionado</t>
  </si>
  <si>
    <t>Resumen Pago Combinado</t>
  </si>
  <si>
    <t>Meses y Días Sostenibilidad (con Fecha)</t>
  </si>
  <si>
    <t>Monto Inversiones Mensual</t>
  </si>
  <si>
    <t>% Presupuesto</t>
  </si>
  <si>
    <t>Saldo Actual Inversiones</t>
  </si>
  <si>
    <t>Resultado Financiero a la Fecha</t>
  </si>
  <si>
    <t>Total Inversiones</t>
  </si>
  <si>
    <t>Generado % Inversiones</t>
  </si>
  <si>
    <t>Gasto Viajes (Treemap)</t>
  </si>
  <si>
    <t>Total Gastado Clave</t>
  </si>
  <si>
    <t>SUM('c_diaria'[monto])</t>
  </si>
  <si>
    <t>[Monto Presupuestado] -
IF([Monto Gastado Dinamico] &gt; 0, [Monto Gastado Dinamico] * -1, [Monto Gastado Dinamico])</t>
  </si>
  <si>
    <t>CALCULATE(
   COUNTROWS(c_diaria),
   FILTER(
       c_diaria,
       c_diaria[razon_uso] = SELECTEDVALUE(dim_razon_uso[razon_uso])
   )
)</t>
  </si>
  <si>
    <t>CALCULATE(
   COUNTROWS(c_diaria),
   FILTER(
       c_diaria,
       c_diaria[ubicacion_viaje_ajustado] = SELECTEDVALUE(viajes[ubicacion_viajes])
   )
)</t>
  </si>
  <si>
    <t>CALCULATE(
   MAX(parametros[valor]),
   parametros[parametro] = "credito_1"
)</t>
  </si>
  <si>
    <t>CALCULATE(
   SUM(c_diaria[monto]),
   c_diaria[fecha] &lt;= TODAY()
)</t>
  </si>
  <si>
    <t>CALCULATE(
   SUM(c_diaria[monto]),
   FILTER(
       ALL(c_diaria),
       c_diaria[fecha] &lt;= TODAY() &amp;&amp;
       c_diaria[metodo_pago] = "credito_1"
   )
)</t>
  </si>
  <si>
    <t>CALCULATE(
   SUM(inversiones[monto]),
   ALLEXCEPT(inversiones, inversiones[tipo_acceso]),
   VALUES(Calendario[PrimerDiaMes])
)</t>
  </si>
  <si>
    <t>CALCULATE(
   SUM(presupuesto[monto_presupuesto]),
   FILTER(
       presupuesto,
       LEFT(presupuesto[razon_uso], 2) = "P." &amp;&amp;
       presupuesto[inicio_mes] &gt; TODAY()
   )
)</t>
  </si>
  <si>
    <t>DIVIDE(
   ([Total Disponible Inversiones] + [Saldo Credito]) + [Total Presupuesto Especifico],
   - [Total Presupuesto Regular]
)</t>
  </si>
  <si>
    <t>DIVIDE(
   SUM(inversiones[monto]),
   CALCULATE(SUM(inversiones[monto]), REMOVEFILTERS(inversiones[tipo_acceso]))
)</t>
  </si>
  <si>
    <t>SELECTEDVALUE('viajes'[ubicacion_viajes]) &amp; ", " &amp;
SELECTEDVALUE('geografia'[estado_region]) &amp; ", " &amp;
SELECTEDVALUE('geografia'[pais])</t>
  </si>
  <si>
    <t>VAR _fechasSeleccionadas = VALUES(Calendario[Fecha])
VAR _minFecha = MINX(_fechasSeleccionadas, Calendario[Fecha])
VAR _maxFecha = MAXX(_fechasSeleccionadas, Calendario[Fecha])
RETURN
SUMX(
   FILTER(
       presupuesto,
       presupuesto[inicio_mes] &lt;= _maxFecha &amp;&amp;
       presupuesto[final_mes] &gt;= _minFecha
   ),
   VAR _razon = presupuesto[razon_uso]
   VAR _isPlanned = LEFT(_razon, 2) = "P."
   VAR _monto = presupuesto[monto_presupuesto]
   VAR _inicio = MAX(presupuesto[inicio_mes], _minFecha)
   VAR _final = MIN(presupuesto[final_mes], _maxFecha)
   VAR _meses = DATEDIFF(_inicio, _final, MONTH) + 1
   RETURN
       IF(_isPlanned, _monto, _monto * _meses)
)</t>
  </si>
  <si>
    <t>VAR _fechasSeleccionadas = VALUES(Calendario[Fecha])
VAR _minFecha = MINX(_fechasSeleccionadas, Calendario[Fecha])
VAR _maxFecha = MAXX(_fechasSeleccionadas, Calendario[Fecha])
VAR _currentRazon = SELECTEDVALUE(presupuesto[razon_uso])
VAR _currentDescripcion = SELECTEDVALUE(presupuesto[descripcion])
RETURN
IF (
   COUNTROWS (
       FILTER (
           presupuesto,
           presupuesto[inicio_mes] &lt;= _maxFecha &amp;&amp;
           presupuesto[final_mes] &gt;= _minFecha &amp;&amp;
           presupuesto[razon_uso] = _currentRazon &amp;&amp;
           presupuesto[descripcion] = _currentDescripcion
       )
   ) &gt; 0,
   1,
   0
)</t>
  </si>
  <si>
    <t>VAR _limite =
   CALCULATE(
       MAX(parametros[limite_autoimpuesto]),
       parametros[parametro] = "credito_1"
   )
VAR _ultimo_fecha_corte =
   CALCULATE(
       MAX(creditos[fecha_corte]),
       ALLSELECTED(creditos)
   )
VAR _monto_ultimo_periodo =
   CALCULATE(
       [Monto Asociado],
       FILTER(
           ALL(creditos),
           creditos[fecha_corte] = _ultimo_fecha_corte
       )
   )
RETURN
   _limite - _monto_ultimo_periodo</t>
  </si>
  <si>
    <t>VAR _razonSeleccionada = VALUES(dim_razon_uso[razon_uso])
VAR _isRazonFiltrada = IF(COUNTROWS(_razonSeleccionada) &gt;= 1, TRUE(), FALSE())
RETURN
CALCULATE(
   SUM(c_diaria[monto]),
   NOT dim_razon_uso[razon_uso] IN { "DINERO", "INGRESO" },
   IF(
       _isRazonFiltrada,
       dim_razon_uso[razon_uso] IN _razonSeleccionada,
       TRUE()
   )
)</t>
  </si>
  <si>
    <t>VAR AccesoActual = SELECTEDVALUE(inversiones[tipo_acceso])
VAR FechaMaxima =
   CALCULATE(
       MAX(inversiones[fecha_monto]),
       inversiones[tipo_acceso] = AccesoActual
   )
RETURN
CALCULATE(
   SUM(inversiones[monto]),
   inversiones[tipo_acceso] = AccesoActual &amp;&amp;
   inversiones[fecha_monto] = FechaMaxima
)</t>
  </si>
  <si>
    <t>VAR CurrentMonth = MAX(Calendario[PrimerDiaMes])
VAR TipoAccesoActual = SELECTEDVALUE(inversiones[tipo_acceso])
VAR PrevMonth =
   MAXX(
       FILTER(
           ALL(Calendario),
           Calendario[PrimerDiaMes] &lt; CurrentMonth &amp;&amp;
           CALCULATE(
               COUNTROWS(inversiones),
               inversiones[tipo_acceso] = TipoAccesoActual,
               Calendario[PrimerDiaMes] = Calendario[PrimerDiaMes]
           ) &gt; 0
       ),
       Calendario[PrimerDiaMes]
   )
RETURN
CALCULATE(
   [Monto Mensual],
   FILTER(
       ALL(Calendario),
       Calendario[PrimerDiaMes] = PrevMonth
   )
)</t>
  </si>
  <si>
    <t>VAR CurrentMonto = [Monto Mensual]
VAR PrevMonto = [Monto Mes Anterior]
RETURN
IF(ISBLANK(PrevMonto), BLANK(), CurrentMonto - PrevMonto)</t>
  </si>
  <si>
    <t>VAR FechaHoy = TODAY()
-- 🔎 Filter Regular budgets (exclude Puntual and DINERO)
VAR PresupuestoFiltrado =
   FILTER(
       presupuesto,
       LEFT(presupuesto[razon_uso], 2) &lt;&gt; "P." &amp;&amp;
       NOT CONTAINSSTRING(presupuesto[razon_uso], "DINERO")
   )
-- 🔥 Find the period that includes today
VAR PeriodoActual =
   FILTER(
       PresupuestoFiltrado,
       presupuesto[inicio_mes] &lt;= FechaHoy &amp;&amp;
       presupuesto[final_mes] &gt;= FechaHoy
   )
-- 🔥 If no period includes today, fallback to the most recent past
VAR InicioUltimoDisponible =
   CALCULATE(
       MAX(presupuesto[inicio_mes]),
       PresupuestoFiltrado
   )
VAR PeriodoUltimo =
   FILTER(
       PresupuestoFiltrado,
       presupuesto[inicio_mes] = InicioUltimoDisponible
   )
-- 🏁 Return current period if it exists, else the latest available
RETURN
IF(
   COUNTROWS(PeriodoActual) &gt; 0,
   CALCULATE(
       SUM(presupuesto[monto_presupuesto]),
       PeriodoActual
   ),
   CALCULATE(
       SUM(presupuesto[monto_presupuesto]),
       PeriodoUltimo
   )
)</t>
  </si>
  <si>
    <t>VAR FechaInicio = [Seleccion Fecha Inicio]
VAR FechaCorte  = [Seleccion Fecha Corte]
VAR MetodoPago  = SELECTEDVALUE(c_diaria[metodo_pago])
VAR Descripcion = SELECTEDVALUE(c_diaria[descripcion])
VAR Fecha       = SELECTEDVALUE(c_diaria[fecha])
VAR EsMetodoCredito =
   NOT ISBLANK(MetodoPago) &amp;&amp;
   SEARCH("credito", LOWER(MetodoPago), 1, 0) &gt; 0
VAR EsDescripcionValida =
   NOT ISBLANK(Descripcion) &amp;&amp;
   LEFT(Descripcion, 25) &lt;&gt; "Pago: Tarjeta de Credito"
VAR EsFechaValida =
   Fecha &gt;= FechaInicio &amp;&amp;
   Fecha &lt;= FechaCorte
RETURN
IF(EsMetodoCredito &amp;&amp; EsDescripcionValida &amp;&amp; EsFechaValida, 1)</t>
  </si>
  <si>
    <t>VAR FechaInicio = SELECTEDVALUE(creditos[fecha_inicio])
VAR FechaCorte = SELECTEDVALUE(creditos[fecha_corte])
RETURN
   CALCULATE(
       SUM(c_diaria[monto]),
       FILTER(
           c_diaria,
           c_diaria[fecha] &gt;= FechaInicio &amp;&amp;
           c_diaria[fecha] &lt;= FechaCorte &amp;&amp;
           SEARCH("credito_1", c_diaria[metodo_pago], 1, 0) &gt; 0 &amp;&amp;
           SEARCH("Pago: tarjeta de Credito", c_diaria[descripcion], 1, 0) = 0
       )
   )</t>
  </si>
  <si>
    <t>VAR FechaInicio = SELECTEDVALUE(viajes[desde])
VAR FechaFin = SELECTEDVALUE(viajes[hasta])
RETURN
IF(
   NOT ISBLANK(FechaInicio) &amp;&amp; NOT ISBLANK(FechaFin),
   DATEDIFF(FechaInicio, FechaFin, DAY),
   BLANK()
)</t>
  </si>
  <si>
    <t>VAR FechaMaxima =
   CALCULATE(
       MAX(inversiones[fecha_monto]),
       FILTER(
           inversiones,
           inversiones[tipo_acceso] = "Disponible"
       )
   )
RETURN
CALCULATE(
   SUM(inversiones[monto]),
   FILTER(
       inversiones,
       inversiones[tipo_acceso] = "Disponible"
           &amp;&amp; inversiones[fecha_monto] = FechaMaxima
   )
)</t>
  </si>
  <si>
    <t>VAR FechaSeleccionada = MAX(Calendario[Fecha])
VAR AnoSeleccionado = YEAR(FechaSeleccionada)
VAR MesSeleccionado = MONTH(FechaSeleccionada)
-- 🔍 Filter out "deuda" for the selected month
VAR FilaDeuda =
   FILTER(
       ALL(creditos),
       YEAR(creditos[fecha_limite_pago]) = AnoSeleccionado &amp;&amp;
       MONTH(creditos[fecha_limite_pago]) = MesSeleccionado
   )
VAR TieneFila = COUNTROWS(FilaDeuda)
-- 📅 Extract dates and flag
VAR FechaLimite = MAXX(FilaDeuda, creditos[fecha_limite_pago])
VAR FechaInicio = MAXX(FilaDeuda, creditos[fecha_inicio])
VAR FechaCorte = MAXX(FilaDeuda, creditos[fecha_corte])
VAR ListoParaPago = TRIM(LOWER(MAXX(FilaDeuda, creditos[listo_para_pago])))
-- 🔎 Looks for ±3 to detect the payment
VAR VentanaInicio = FechaLimite - 3
VAR VentanaFin = FechaLimite + 3
VAR PagoDetectado =
   CALCULATE(
       COUNTROWS(c_diaria),
       FILTER(
           ALL(c_diaria),
           c_diaria[fecha] &gt;= VentanaInicio &amp;&amp;
           c_diaria[fecha] &lt;= VentanaFin &amp;&amp;
           CONTAINSSTRING(LOWER(c_diaria[descripcion]), "pago: tarjeta de credito")
       )
   )
VAR MontoAsociado =
   IF(
       TieneFila &gt; 0,
       CALCULATE(
           SUM(c_diaria[monto]),
           FILTER(
               ALL(c_diaria),
               c_diaria[fecha] &gt;= FechaInicio &amp;&amp;
               c_diaria[fecha] &lt;= FechaCorte &amp;&amp;
               SEARCH("credito_1", c_diaria[metodo_pago], 1, 0) &gt; 0 &amp;&amp;
               SEARCH("Pago: tarjeta de Credito", c_diaria[descripcion], 1, 0) = 0
           )
       ),
       BLANK()
   )
VAR MontoFallback =
   CALCULATE(
       SUM(c_diaria[monto]),
       FILTER(
           ALL(c_diaria),
           YEAR(c_diaria[fecha]) = AnoSeleccionado &amp;&amp;
           MONTH(c_diaria[fecha]) = MesSeleccionado &amp;&amp;
           SEARCH("credito_1", c_diaria[metodo_pago], 1, 0) &gt; 0
       )
   )
VAR MontoMostrar = IF(TieneFila = 0 || ISBLANK(FechaLimite), MontoFallback, MontoAsociado)
VAR FechaPagoRealNoConocida = TieneFila &gt; 0 &amp;&amp; FechaCorte &gt; TODAY()
VAR FechaCorteYaPaso = TieneFila &gt; 0 &amp;&amp; FechaCorte &lt;= TODAY()
VAR MensajeEstado =
   IF(
       TieneFila = 0 || ISBLANK(FechaLimite),
       "🚫 No hay registro del Mes",
       IF(
           PagoDetectado &gt; 0,
           "✅ Ya Pagado",
           IF(
               FechaPagoRealNoConocida,
               "⚠️ Fecha de Pago Real Aun No Conocida",
               IF(
                   FechaCorteYaPaso &amp;&amp; ListoParaPago = "si",
                   "🟡 Programado para Pago",
                   IF(
                       FechaCorteYaPaso &amp;&amp; ListoParaPago = "no",
                       "🔴 Pendiente de Programar Pago"
                   )
               )
           )
       )
   )
RETURN
   MensajeEstado &amp; UNICHAR(10) &amp;
   "Monto a Liquidar: " &amp; FORMAT(MontoMostrar, "$#,##0.00") &amp; UNICHAR(10) &amp;
   IF(
       TieneFila = 0 || ISBLANK(FechaLimite) || FechaPagoRealNoConocida,
       "",
       "Fecha limite: " &amp; FORMAT(FechaLimite, "dd/mm/yyyy")
   )</t>
  </si>
  <si>
    <t>VAR FechaSeleccionada = MAX(Calendario[Fecha])
VAR AnoSeleccionado = YEAR(FechaSeleccionada)
VAR MesSeleccionado = MONTH(FechaSeleccionada)
-- adjustment of month and day for the next month
VAR MesSiguiente = IF(MesSeleccionado = 12, 1, MesSeleccionado + 1)
VAR AnoSiguiente = IF(MesSeleccionado = 12, AnoSeleccionado + 1, AnoSeleccionado)
-- Look out the row for the next month
VAR FilaDeuda =
   FILTER(
       ALL(creditos),
       YEAR(creditos[fecha_limite_pago]) = AnoSiguiente &amp;&amp;
       MONTH(creditos[fecha_limite_pago]) = MesSiguiente
   )
VAR TieneFila = COUNTROWS(FilaDeuda)
VAR FechaInicio = MAXX(FilaDeuda, creditos[fecha_inicio])
VAR FechaCorte = MAXX(FilaDeuda, creditos[fecha_corte])
VAR MontoAsociado =
   CALCULATE(
       SUM(c_diaria[monto]),
       FILTER(
           ALL(c_diaria),
           c_diaria[fecha] &gt;= FechaInicio &amp;&amp;
           c_diaria[fecha] &lt;= FechaCorte &amp;&amp;
           SEARCH("credito_1", c_diaria[metodo_pago], 1, 0) &gt; 0 &amp;&amp;
           SEARCH("Pago: tarjeta de Credito", c_diaria[descripcion], 1, 0) = 0
       )
   )
RETURN
IF(
   TieneFila = 0,
   "No hay información del próximo mes",
   "Acumulado siguiente pago: " &amp; FORMAT(MontoAsociado, "$#,##0.00")
)</t>
  </si>
  <si>
    <t>VAR FechasSeleccionadas =
   CALCULATETABLE(
       VALUES(Calendario[Fecha]),
       ALLSELECTED(Calendario)
   )
VAR FechaMin = MINX(FechasSeleccionadas, Calendario[Fecha])
VAR FechaMax = MAXX(FechasSeleccionadas, Calendario[Fecha])
VAR TipoAccesoActual = SELECTEDVALUE(inversiones[tipo_acceso])
-- Filter only the data in the selected range for this tipo_acceso
VAR DatosSeleccionados =
   FILTER(
       ALL(inversiones),
       inversiones[fecha_monto] &gt;= FechaMin &amp;&amp;
       inversiones[fecha_monto] &lt;= FechaMax &amp;&amp;
       inversiones[tipo_acceso] = TipoAccesoActual
   )
-- Get first and last full calendar month inside selection
VAR PrimerMes =
   CALCULATE(
       MINX(DatosSeleccionados, DATE(YEAR(inversiones[fecha_monto]), MONTH(inversiones[fecha_monto]), 1))
   )
VAR UltimoMes =
   CALCULATE(
       MAXX(DatosSeleccionados, DATE(YEAR(inversiones[fecha_monto]), MONTH(inversiones[fecha_monto]), 1))
   )
VAR MontoInicio =
   CALCULATE(
       SUM(inversiones[monto]),
       FILTER(
           DatosSeleccionados,
           inversiones[fecha_monto] &gt;= PrimerMes &amp;&amp;
           inversiones[fecha_monto] &lt; EOMONTH(PrimerMes, 0) + 1
       )
   )
VAR MontoFin =
   CALCULATE(
       SUM(inversiones[monto]),
       FILTER(
           DatosSeleccionados,
           inversiones[fecha_monto] &gt;= UltimoMes &amp;&amp;
           inversiones[fecha_monto] &lt; EOMONTH(UltimoMes, 0) + 1
       )
   )
RETURN
IF(
   ISBLANK(MontoInicio) || ISBLANK(MontoFin),
   BLANK(),
   MontoFin - MontoInicio
)</t>
  </si>
  <si>
    <t>VAR LineBreak = UNICHAR(10)
VAR ForcedBlankLine = LineBreak &amp; UNICHAR(8203) &amp; LineBreak  -- zero-width space between breaks
RETURN
   [Resumen Estado Pago General] &amp;
   ForcedBlankLine &amp;
   [Resumen Estado Pago Proximo Mes]</t>
  </si>
  <si>
    <t>VAR MesesDec = [Meses de Sostenibilidad]
VAR MesesEnteros = INT(MesesDec)
VAR Dias = ROUND((MesesDec - MesesEnteros) * 30, 0)
-- Add full months using EDATE
VAR FechaIntermedia = EDATE(TODAY(), MesesEnteros)
-- Add remaining days on top of that
VAR FechaMax = FechaIntermedia + Dias
-- Format the final date in Spanish with proper capitalization
VAR FechaFormateada =
   FORMAT(FechaMax, "dd") &amp; " /" &amp;
   UPPER(LEFT(FORMAT(FechaMax, "mmmm"),1)) &amp;
   MID(FORMAT(FechaMax, "mmmm"),2,LEN(FORMAT(FechaMax, "mmmm"))) &amp;
   "/ " &amp; FORMAT(FechaMax, "yyyy")
RETURN
FORMAT(MesesEnteros, "0") &amp; " meses y " &amp;
FORMAT(Dias, "0") &amp; " días" &amp; UNICHAR(10) &amp;
"Fecha Máxima: " &amp; FechaFormateada</t>
  </si>
  <si>
    <t>VAR MesesSeleccionados =
   CALCULATETABLE(
       VALUES(Calendario[Año Mes]),
       ALLSELECTED(Calendario)
   )
VAR EsUnSoloMes = COUNTROWS(MesesSeleccionados) = 1
VAR UltimaFechaSeleccionada =
   CALCULATE(
       MAX(inversiones[fecha_monto]),
       ALLSELECTED(Calendario)
   )
RETURN
IF(
   EsUnSoloMes,
   SUM(inversiones[monto]),
   CALCULATE(
       SUM(inversiones[monto]),
       inversiones[fecha_monto] = UltimaFechaSeleccionada
   )
)</t>
  </si>
  <si>
    <t>VAR Presup = [Monto Presupuestado]
VAR Gastado = [Monto Gastado Dinamico]
RETURN
IF(
   Presup = 0 || ISBLANK(Presup),
   BLANK(),
   DIVIDE(Gastado, Presup)
)</t>
  </si>
  <si>
    <t>VAR TipoSeleccionado = SELECTEDVALUE(inversiones[tipo_inversion])
-- Max visible date based on actual filtered calendar
VAR FechaMaximaVisible =
   CALCULATE(
       MAX(inversiones[fecha_monto]),
       FILTER(
           ALL(inversiones),
           inversiones[tipo_inversion] = TipoSeleccionado &amp;&amp;
           inversiones[fecha_monto] IN VALUES(Calendario[Fecha])
       )
   )
VAR MontoVisible =
   CALCULATE(
       MAX(inversiones[monto]),
       FILTER(
           inversiones,
           inversiones[tipo_inversion] = TipoSeleccionado &amp;&amp;
           inversiones[fecha_monto] = FechaMaximaVisible
       )
   )
RETURN
IF(
   ISBLANK(FechaMaximaVisible),
   BLANK(),
   MontoVisible
)</t>
  </si>
  <si>
    <t>VAR TipoSeleccionado = SELECTEDVALUE(inversiones[tipo_inversion])
VAR FechaActual = SELECTEDVALUE(Calendario[PrimerDiaMes])  -- Current month on X axis
VAR FechaHoy = TODAY()
VAR FechaInicioInversion =
   CALCULATE(
       MIN(inversiones[primer_dia_mes]),
       FILTER(ALL(inversiones), inversiones[tipo_inversion] = TipoSeleccionado)
   )
RETURN
IF(
   TipoSeleccionado = "entidad_8",
   [Saldo Actual Inversiones] - [Total Inversiones],
   IF(
       ISBLANK(FechaActual) ||
       ISBLANK(FechaInicioInversion) ||
       FechaActual &gt; FechaHoy ||
       FechaActual &lt; FechaInicioInversion,
       BLANK(),
       VAR cDiariaFiltrada =
           FILTER(
               ALL(c_diaria),
               c_diaria[tipo_inversion_detectado] = TipoSeleccionado &amp;&amp;
               c_diaria[fecha] &lt;= FechaActual
           )
       VAR MontoRetirado =
           SUMX(
               FILTER(
                   cDiariaFiltrada,
                   CONTAINSSTRING(c_diaria[descripcion], "RETIRO PARCIAL") ||
                   CONTAINSSTRING(c_diaria[descripcion], "RETIRO FINAL")
               ),
               c_diaria[monto]
           )
       VAR FlujoMovimiento =
           SUMX(
               FILTER(
                   cDiariaFiltrada,
                   NOT (
                       CONTAINSSTRING(c_diaria[descripcion], "RETIRO PARCIAL") ||
                       CONTAINSSTRING(c_diaria[descripcion], "RETIRO FINAL") ||
                       CONTAINSSTRING(c_diaria[descripcion], "RETIRO GANANCIAS")
                   )
               ),
               c_diaria[monto]
           )
       VAR UltimaFechaVisible =
           CALCULATE(
               MAX(inversiones[primer_dia_mes]),
               FILTER(
                   ALL(inversiones),
                   inversiones[tipo_inversion] = TipoSeleccionado &amp;&amp;
                   inversiones[primer_dia_mes] &lt;= FechaActual
               )
           )
       VAR UltimoMontoVisible =
           CALCULATE(
               MAX(inversiones[monto]),
               FILTER(
                   ALL(inversiones),
                   inversiones[tipo_inversion] = TipoSeleccionado &amp;&amp;
                   inversiones[primer_dia_mes] = UltimaFechaVisible
               )
           )
       RETURN
           IF(
               NOT ISBLANK(MontoRetirado),
               MontoRetirado + FlujoMovimiento,
               UltimoMontoVisible + FlujoMovimiento
           )
   )
)</t>
  </si>
  <si>
    <t>VAR TipoSeleccionado = SELECTEDVALUE(inversiones[tipo_inversion])
VAR FechaMax = MAX(Calendario[Fecha])
-- Pre-filter c_diaria for performance
VAR cDiariaFiltrada =
   FILTER(
       ALL(c_diaria),
       c_diaria[fecha] &lt;= FechaMax
   )
-- Special case: Puntos Premia
VAR MontoPuntosPremia =
   CALCULATE(
       SUM(c_diaria[monto]),
       FILTER(
           cDiariaFiltrada,
           CONTAINSSTRING(c_diaria[descripcion], "Comision Anualidad") &amp;&amp;
           CONTAINSSTRING(c_diaria[descripcion], "entidad_2") &amp;&amp;
           NOT CONTAINSSTRING(c_diaria[descripcion], "RETIRO GANANCIAS")
       )
   )
-- Special case: CETES
VAR MontoCETES =
   CALCULATE(
       SUM(c_diaria[monto]),
       FILTER(
           cDiariaFiltrada,
           CONTAINSSTRING(c_diaria[descripcion], "Deposito: entidad_1") &amp;&amp;
           NOT CONTAINSSTRING(c_diaria[descripcion], "RETIRO GANANCIAS")
       )
   )
-- Default case: other types (generic search)
VAR MontoOtros =
   CALCULATE(
       SUM(c_diaria[monto]),
       FILTER(
           cDiariaFiltrada,
           CONTAINSSTRING(c_diaria[descripcion], TipoSeleccionado) &amp;&amp;
           NOT (
               CONTAINSSTRING(c_diaria[descripcion], "RETIRO GANANCIAS") ||
               CONTAINSSTRING(c_diaria[descripcion], "RETIRO PARCIAL") ||
               CONTAINSSTRING(c_diaria[descripcion], "RETIRO FINAL")
           )
       )
   )
RETURN
   ABS(
       SWITCH(
           TRUE(),
           TipoSeleccionado = "entidad_2", MontoPuntosPremia,
           TipoSeleccionado = "entidad_1", MontoCETES,
           MontoOtros
       )
   )</t>
  </si>
  <si>
    <t>VAR TipoSeleccionado = SELECTEDVALUE(inversiones[tipo_inversion])
VAR TotalGenerado = [Resultado Financiero a la Fecha]
VAR TotalInvertido = [Total Inversiones]
VAR TotalInvertidoPPR = [Saldo Actual Inversiones]
RETURN
IF(
   ISBLANK(TotalInvertido) || TotalInvertido = 0,
   1,
   SWITCH(
       TRUE(),
       TipoSeleccionado = "entidad_2",
           DIVIDE(TotalGenerado, TotalInvertido + TotalGenerado),
       TipoSeleccionado = "entidad_8",
           DIVIDE(TotalInvertidoPPR - TotalInvertido, TotalInvertido),
       DIVIDE(TotalGenerado, TotalInvertido)
   )
)</t>
  </si>
  <si>
    <t>VAR TotalViajes =
   CALCULATE(
       SUM(c_diaria[monto]),
       c_diaria[ubicacion_viaje_ajustado] &lt;&gt; "Sin Viaje"
   )
VAR CategoriaActual = SELECTEDVALUE(c_diaria[ubicacion_viaje_ajustado])
VAR ValorActual = SUM(c_diaria[monto])
RETURN
IF(
   ISBLANK(TotalViajes),
   -- ✔️ No viajes → show Sin Viaje only
   IF(
       CategoriaActual = "Sin Viaje" &amp;&amp; NOT ISBLANK(ValorActual),
       ABS(ValorActual) + 0.001,
       BLANK()
   ),
   -- ✔️ Viajes exist → show only real destinos (no Sin Viaje)
   IF(
       CategoriaActual &lt;&gt; "Sin Viaje" &amp;&amp; NOT ISBLANK(ValorActual),
       ABS(ValorActual) + 0.001,
       BLANK()
   )
)</t>
  </si>
  <si>
    <t>Balance Financiero Mensual e Inversiones</t>
  </si>
  <si>
    <t>Balance Metodo de Pago</t>
  </si>
  <si>
    <t>Comparativa por Presupuesto</t>
  </si>
  <si>
    <t>Descripcion por Presupuesto Especifico</t>
  </si>
  <si>
    <t>Detalle de Transacciones</t>
  </si>
  <si>
    <t>Detalles Viajes</t>
  </si>
  <si>
    <t>Duracion Viaje</t>
  </si>
  <si>
    <t>Estatus Linea de Credito</t>
  </si>
  <si>
    <t>Filtro por Ubicacion</t>
  </si>
  <si>
    <t>Gasto Asociados a Viajes</t>
  </si>
  <si>
    <t>Gasto en Credito por Periodo de Facturacion</t>
  </si>
  <si>
    <t>Horizonte de Sustenabilidad y Fecha Limite</t>
  </si>
  <si>
    <t>Lugar Visitado</t>
  </si>
  <si>
    <t>Monto Disponible vs. Limite Personal</t>
  </si>
  <si>
    <t>Monto por Inversion</t>
  </si>
  <si>
    <t>Montos Totales</t>
  </si>
  <si>
    <t>Porcentaje Utilizado del Presupuesto</t>
  </si>
  <si>
    <t>Razon de Uso</t>
  </si>
  <si>
    <t>Resultado Financiero</t>
  </si>
  <si>
    <t>Resumen Estado de Pago del Credito</t>
  </si>
  <si>
    <t>Tendencia Acumulada por Acceso</t>
  </si>
  <si>
    <t>Tendencia Acumulada por Inversion</t>
  </si>
  <si>
    <t>Total Invertido</t>
  </si>
  <si>
    <t>Variacion Mensual de Inversiones</t>
  </si>
  <si>
    <t>Duracion del viaje</t>
  </si>
  <si>
    <t>Disponible</t>
  </si>
  <si>
    <t>Fecha de Corte</t>
  </si>
  <si>
    <t>Fecha Limite de Pago</t>
  </si>
  <si>
    <t>Ingresos</t>
  </si>
  <si>
    <t>Mapa Gastos de Viaje</t>
  </si>
  <si>
    <t>No Disponible</t>
  </si>
  <si>
    <t>Numero de Viajes</t>
  </si>
  <si>
    <t>Tendencia Acumulada de Inversiones</t>
  </si>
  <si>
    <t>Tipo de Inversion</t>
  </si>
  <si>
    <t>ubicacion_viaje_ajustado</t>
  </si>
  <si>
    <t>ubicacion_viaje_ajustado = 
VAR UbicacionViaje =
    LOOKUPVALUE(
        viajes[ubicacion_viajes],
        viajes[id_viaje], c_diaria[id_viaje]
    )
RETURN
    IF(
        ISBLANK(UbicacionViaje),
        "Sin Viaje",
        UbicacionViaje
    )</t>
  </si>
  <si>
    <t>tipo_inversion_detectado</t>
  </si>
  <si>
    <t>VAR Lista = 
    FILTER(
        'dim_tipo_inversion',
        SEARCH('dim_tipo_inversion'[tipo_inversion], c_diaria[descripcion], 1, 0) &gt; 0
    )
RETURN
    MAXX(Lista, 'dim_tipo_inversion'[tipo_inversion])</t>
  </si>
  <si>
    <t>Calendario</t>
  </si>
  <si>
    <t>Filtro por Fecha</t>
  </si>
  <si>
    <t>fecha_inicio</t>
  </si>
  <si>
    <t>VAR CurrentFecha = creditos[fecha_corte] 
VAR PrevFecha =
    CALCULATE(
        MAX(creditos[fecha_corte]), 
        FILTER(
            creditos, 
            creditos[fecha_corte] &lt; CurrentFecha 
        )
    )
RETURN
    IF(
        ISBLANK(PrevFecha),
        DATE(2024, 9, 10),       -- 👈 your hardcoded first fecha_inicio
        PrevFecha + 1
    )</t>
  </si>
  <si>
    <t>Fecha de Inicio</t>
  </si>
  <si>
    <t>simbolo_listo_para_pago</t>
  </si>
  <si>
    <t>Estatus Pago del Credito</t>
  </si>
  <si>
    <t>dim_tipo_inversion</t>
  </si>
  <si>
    <t>dim_tipo_inversion = 
DISTINCT(SELECTCOLUMNS(inversiones, "tipo_inversion", inversiones[tipo_inversion]))</t>
  </si>
  <si>
    <t>primer_dia_mes</t>
  </si>
  <si>
    <t>primer_dia_mes = 
    DATE(YEAR(inversiones[fecha_monto]), MONTH(inversiones[fecha_monto]), 1)</t>
  </si>
  <si>
    <t>grupo_viaje_descripcion</t>
  </si>
  <si>
    <t>grupo_viaje_descripcion = 
'viajes'[grupo_viaje] &amp; " - " &amp; 'viajes'[viaje_principal] &amp; ", " &amp;
LOOKUPVALUE(
    'geografia'[pais],
    'geografia'[ubicacion_viajes], 'viajes'[viaje_principal]
)</t>
  </si>
  <si>
    <t>Viajes Agrupados</t>
  </si>
  <si>
    <t>id_viaje_descripcion</t>
  </si>
  <si>
    <t>id_viaje_descripcion = 
'viajes'[id_viaje] &amp; " - " &amp; 'viajes'[descripcion]</t>
  </si>
  <si>
    <t>grupo_conteo</t>
  </si>
  <si>
    <t>grupo_conteo = 
CALCULATE(
    COUNTROWS('viajes'),
    ALLEXCEPT('viajes', 'viajes'[grupo_viaje])
)</t>
  </si>
  <si>
    <t>Gasto Total por Clave</t>
  </si>
  <si>
    <t>Saldo Acumulado</t>
  </si>
  <si>
    <t>nombre_visual</t>
  </si>
  <si>
    <t>dax_medicion</t>
  </si>
  <si>
    <t>dax_formula</t>
  </si>
  <si>
    <t>usado_denuevo</t>
  </si>
  <si>
    <t>Reporte Creditos</t>
  </si>
  <si>
    <t>Reporte Inversiones</t>
  </si>
  <si>
    <t>Reporte Presupuesto</t>
  </si>
  <si>
    <t>Reporte Viajes</t>
  </si>
  <si>
    <t>Resumen Financiero</t>
  </si>
  <si>
    <t>nombre_reporte</t>
  </si>
  <si>
    <t>Tooltip Viajes</t>
  </si>
  <si>
    <t>Tooltip Resumen - Presupuesto</t>
  </si>
  <si>
    <t>Total Presupuestado</t>
  </si>
  <si>
    <t>Tooltip Resumen - Viajes</t>
  </si>
  <si>
    <t>Monto Utilizado</t>
  </si>
  <si>
    <t>General</t>
  </si>
  <si>
    <t>sin formula</t>
  </si>
  <si>
    <t>Filtro por Periodo</t>
  </si>
  <si>
    <t>Etiquetas de fila</t>
  </si>
  <si>
    <t>Total general</t>
  </si>
  <si>
    <t>MAX(creditos[fecha_corte])</t>
  </si>
  <si>
    <t>MIN(creditos[fecha_inicio])</t>
  </si>
  <si>
    <t>simbolo_listo_para_pago = 
    IF(creditos[listo_para_pago] = "si", "✔️", "❌")</t>
  </si>
  <si>
    <t>total_complejidad</t>
  </si>
  <si>
    <t>Cuenta de total_complejidad</t>
  </si>
  <si>
    <t>analizar_CALCULATE</t>
  </si>
  <si>
    <t>analizar_FILTER</t>
  </si>
  <si>
    <t>analizar_IF</t>
  </si>
  <si>
    <t>analizar_SWITCH</t>
  </si>
  <si>
    <t>analizar_SUM</t>
  </si>
  <si>
    <t>analizar_DIVIDE</t>
  </si>
  <si>
    <t>analizar_ALL</t>
  </si>
  <si>
    <t>estatus</t>
  </si>
  <si>
    <t>Tooltip Inversiones - Balance</t>
  </si>
  <si>
    <t>Tooltip Inversiones</t>
  </si>
  <si>
    <t>optimizar</t>
  </si>
  <si>
    <t>This one can be adapted with CSV006 &amp; CSV007</t>
  </si>
  <si>
    <t>This one can be adapted with CSV008</t>
  </si>
  <si>
    <t>This one can be adapted with CSV001</t>
  </si>
  <si>
    <t>This one can be adapted with CSV002</t>
  </si>
  <si>
    <t>N/A</t>
  </si>
  <si>
    <t>This one can be adapted with CSV011</t>
  </si>
  <si>
    <t>This one can be adapted with CSV003</t>
  </si>
  <si>
    <t>This one will be replaced with CSV003</t>
  </si>
  <si>
    <t>This one will be replaced with CSV008</t>
  </si>
  <si>
    <t>This one can be adapted with CSV003 &amp; will be changed into a normal DAX measure</t>
  </si>
  <si>
    <t>This one can be adapted with CSV003 and CSV004 &amp; will be maintained as calculated column</t>
  </si>
  <si>
    <t>This one can be adapted with CSV003 and CSV004</t>
  </si>
  <si>
    <t>This one can be adapted with CSV003 &amp; CSV012</t>
  </si>
  <si>
    <t>This one can be adapted with CSV003, CSV004 and CSV012 &amp; will be maintained as calculated column</t>
  </si>
  <si>
    <t>This one can be adapted with CSV011 &amp; parametros will be replaced with CSV014</t>
  </si>
  <si>
    <t>This one will be deleted, as fecha_inicio is already created in creditos spreadsheet</t>
  </si>
  <si>
    <t>Needs to be replaced into calendario table, instead of credito table.</t>
  </si>
  <si>
    <t>ADDCOLUMNS(
    SELECTCOLUMNS(
        CALENDAR(DATE(2015,4,28), DATE(2026,12,31)),
        "Fecha", [Date]
    ),
    "Año", YEAR([Fecha]),
    "Mes", SWITCH(
        MONTH([Fecha]),
        1, "Enero",
        2, "Febrero",
        3, "Marzo",
        4, "Abril",
        5, "Mayo",
        6, "Junio",
        7, "Julio",
        8, "Agosto",
        9, "Septiembre",
        10, "Octubre",
        11, "Noviembre",
        12, "Diciembre"
    ),
    "Numero del Mes", MONTH([Fecha]),
    "Dia", DAY([Fecha]),
    "Año Mes", FORMAT([Fecha], "YYYY-MM"),
    "Mes Año", FORMAT([Fecha], "MMM YYYY"),
    "PrimerDiaMes", DATE(YEAR([Fecha]), MONTH([Fecha]), 1),
    "FinMes", EOMONTH([Fecha], 0),
    "CodigoMes", YEAR([Fecha]) * 100 + MONTH([Fecha])   -- &lt;&lt; new code like 202410
)</t>
  </si>
  <si>
    <t>The column CodigoMes was added.</t>
  </si>
  <si>
    <t>This one will be replaced with CSV006</t>
  </si>
  <si>
    <t>This one will be replaced with CSV007</t>
  </si>
  <si>
    <t>comentarios_mejoras_sugeridas</t>
  </si>
  <si>
    <t>estatus_master</t>
  </si>
  <si>
    <t>Calendario = 
ADDCOLUMNS(
    SELECTCOLUMNS(
        CALENDAR(DATE(2015,4,28), DATE(2026,12,31)),
        "Fecha", [Date]
    ),
    "Año", YEAR([Fecha]),
    "Mes", SWITCH(
        MONTH([Fecha]),
        1, "Enero",
        2, "Febrero",
        3, "Marzo",
        4, "Abril",
        5, "Mayo",
        6, "Junio",
        7, "Julio",
        8, "Agosto",
        9, "Septiembre",
        10, "Octubre",
        11, "Noviembre",
        12, "Diciembre"
    ),
    "Numero del Mes", MONTH([Fecha]),
    "Dia", DAY([Fecha]),
    "Año Mes", FORMAT([Fecha], "YYYY-MM"),
    "Mes Año", FORMAT([Fecha], "MMM YYYY"),
    "PrimerDiaMes", DATE(YEAR([Fecha]), MONTH([Fecha]), 1),
    "FinMes", EOMONTH([Fecha], 0),
    "CodigoMes", YEAR([Fecha]) * 100 + MONTH([Fecha])   -- &lt;&lt; new code like 202410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</si>
</sst>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theme="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2" fillId="3" borderId="5" xfId="0" applyFont="1" applyFill="1" applyBorder="1"/>
    <xf numFmtId="0" fontId="3" fillId="3" borderId="0" xfId="0" applyFont="1" applyFill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rlos Larios Coronado" refreshedDate="45891.631490509259" createdVersion="8" refreshedVersion="8" minRefreshableVersion="3" recordCount="71" xr:uid="{80DF6B49-42AF-4C83-B970-968135D0CBC1}">
  <cacheSource type="worksheet">
    <worksheetSource ref="A1:P71" sheet="Tabla2"/>
  </cacheSource>
  <cacheFields count="13">
    <cacheField name="nombre_reporte" numFmtId="0">
      <sharedItems/>
    </cacheField>
    <cacheField name="nombre_visual" numFmtId="0">
      <sharedItems/>
    </cacheField>
    <cacheField name="dax_medicion" numFmtId="0">
      <sharedItems/>
    </cacheField>
    <cacheField name="usado_denuevo" numFmtId="0">
      <sharedItems containsString="0" containsBlank="1" containsNumber="1" containsInteger="1" minValue="1" maxValue="9"/>
    </cacheField>
    <cacheField name="dax_formula" numFmtId="0">
      <sharedItems longText="1"/>
    </cacheField>
    <cacheField name="CALCULATE" numFmtId="0">
      <sharedItems containsSemiMixedTypes="0" containsString="0" containsNumber="1" containsInteger="1" minValue="0" maxValue="5"/>
    </cacheField>
    <cacheField name="FILTER" numFmtId="0">
      <sharedItems containsSemiMixedTypes="0" containsString="0" containsNumber="1" containsInteger="1" minValue="0" maxValue="6"/>
    </cacheField>
    <cacheField name="IF" numFmtId="0">
      <sharedItems containsSemiMixedTypes="0" containsString="0" containsNumber="1" containsInteger="1" minValue="0" maxValue="8"/>
    </cacheField>
    <cacheField name="SWITCH" numFmtId="0">
      <sharedItems containsSemiMixedTypes="0" containsString="0" containsNumber="1" containsInteger="1" minValue="0" maxValue="1"/>
    </cacheField>
    <cacheField name="SUM" numFmtId="0">
      <sharedItems containsSemiMixedTypes="0" containsString="0" containsNumber="1" containsInteger="1" minValue="0" maxValue="3"/>
    </cacheField>
    <cacheField name="DIVIDE" numFmtId="0">
      <sharedItems containsSemiMixedTypes="0" containsString="0" containsNumber="1" containsInteger="1" minValue="0" maxValue="3"/>
    </cacheField>
    <cacheField name="ALL" numFmtId="0">
      <sharedItems containsSemiMixedTypes="0" containsString="0" containsNumber="1" containsInteger="1" minValue="0" maxValue="4"/>
    </cacheField>
    <cacheField name="total_complejidad" numFmtId="0">
      <sharedItems containsSemiMixedTypes="0" containsString="0" containsNumber="1" containsInteger="1" minValue="0" maxValue="21" count="13">
        <n v="21"/>
        <n v="18"/>
        <n v="13"/>
        <n v="12"/>
        <n v="9"/>
        <n v="8"/>
        <n v="6"/>
        <n v="5"/>
        <n v="4"/>
        <n v="3"/>
        <n v="2"/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Resumen Financiero"/>
    <s v="Resumen Estado de Pago del Credito"/>
    <s v="Resumen Estado Pago General"/>
    <m/>
    <s v="VAR FechaSeleccionada = MAX(Calendario[Fecha])_x000a_VAR AnoSeleccionado = YEAR(FechaSeleccionada)_x000a_VAR MesSeleccionado = MONTH(FechaSeleccionada)_x000a_-- 🔍 Filter out &quot;deuda&quot; for the selected month_x000a_VAR FilaDeuda =_x000a_   FILTER(_x000a_       ALL(creditos),_x000a_       YEAR(creditos[fecha_limite_pago]) = AnoSeleccionado &amp;&amp;_x000a_       MONTH(creditos[fecha_limite_pago]) = MesSeleccionado_x000a_   )_x000a_VAR TieneFila = COUNTROWS(FilaDeuda)_x000a_-- 📅 Extract dates and flag_x000a_VAR FechaLimite = MAXX(FilaDeuda, creditos[fecha_limite_pago])_x000a_VAR FechaInicio = MAXX(FilaDeuda, creditos[fecha_inicio])_x000a_VAR FechaCorte = MAXX(FilaDeuda, creditos[fecha_corte])_x000a_VAR ListoParaPago = TRIM(LOWER(MAXX(FilaDeuda, creditos[listo_para_pago])))_x000a_-- 🔎 Looks for ±3 to detect the payment_x000a_VAR VentanaInicio = FechaLimite - 3_x000a_VAR VentanaFin = FechaLimite + 3_x000a_VAR PagoDetectado =_x000a_   CALCULATE(_x000a_       COUNTROWS(c_diaria),_x000a_       FILTER(_x000a_           ALL(c_diaria),_x000a_           c_diaria[fecha] &gt;= VentanaInicio &amp;&amp;_x000a_           c_diaria[fecha] &lt;= VentanaFin &amp;&amp;_x000a_           CONTAINSSTRING(LOWER(c_diaria[descripcion]), &quot;pago: tarjeta de credito&quot;)_x000a_       )_x000a_   )_x000a_VAR MontoAsociado =_x000a_   IF(_x000a_       TieneFila &gt; 0,_x000a_       CALCULATE(_x000a_           SUM(c_diaria[monto]),_x000a_           FILTER(_x000a_               ALL(c_diaria),_x000a_               c_diaria[fecha] &gt;= FechaInicio &amp;&amp;_x000a_               c_diaria[fecha] &lt;= FechaCorte &amp;&amp;_x000a_               SEARCH(&quot;credito_1&quot;, c_diaria[metodo_pago], 1, 0) &gt; 0 &amp;&amp;_x000a_               SEARCH(&quot;Pago: tarjeta de Credito&quot;, c_diaria[descripcion], 1, 0) = 0_x000a_           )_x000a_       ),_x000a_       BLANK()_x000a_   )_x000a_VAR MontoFallback =_x000a_   CALCULATE(_x000a_       SUM(c_diaria[monto]),_x000a_       FILTER(_x000a_           ALL(c_diaria),_x000a_           YEAR(c_diaria[fecha]) = AnoSeleccionado &amp;&amp;_x000a_           MONTH(c_diaria[fecha]) = MesSeleccionado &amp;&amp;_x000a_           SEARCH(&quot;credito_1&quot;, c_diaria[metodo_pago], 1, 0) &gt; 0_x000a_       )_x000a_   )_x000a_VAR MontoMostrar = IF(TieneFila = 0 || ISBLANK(FechaLimite), MontoFallback, MontoAsociado)_x000a_VAR FechaPagoRealNoConocida = TieneFila &gt; 0 &amp;&amp; FechaCorte &gt; TODAY()_x000a_VAR FechaCorteYaPaso = TieneFila &gt; 0 &amp;&amp; FechaCorte &lt;= TODAY()_x000a_VAR MensajeEstado =_x000a_   IF(_x000a_       TieneFila = 0 || ISBLANK(FechaLimite),_x000a_       &quot;🚫 No hay registro del Mes&quot;,_x000a_       IF(_x000a_           PagoDetectado &gt; 0,_x000a_           &quot;✅ Ya Pagado&quot;,_x000a_           IF(_x000a_               FechaPagoRealNoConocida,_x000a_               &quot;⚠️ Fecha de Pago Real Aun No Conocida&quot;,_x000a_               IF(_x000a_                   FechaCorteYaPaso &amp;&amp; ListoParaPago = &quot;si&quot;,_x000a_                   &quot;🟡 Programado para Pago&quot;,_x000a_                   IF(_x000a_                       FechaCorteYaPaso &amp;&amp; ListoParaPago = &quot;no&quot;,_x000a_                       &quot;🔴 Pendiente de Programar Pago&quot;_x000a_                   )_x000a_               )_x000a_           )_x000a_       )_x000a_   )_x000a_RETURN_x000a_   MensajeEstado &amp; UNICHAR(10) &amp;_x000a_   &quot;Monto a Liquidar: &quot; &amp; FORMAT(MontoMostrar, &quot;$#,##0.00&quot;) &amp; UNICHAR(10) &amp;_x000a_   IF(_x000a_       TieneFila = 0 || ISBLANK(FechaLimite) || FechaPagoRealNoConocida,_x000a_       &quot;&quot;,_x000a_       &quot;Fecha limite: &quot; &amp; FORMAT(FechaLimite, &quot;dd/mm/yyyy&quot;)_x000a_   )"/>
    <n v="3"/>
    <n v="4"/>
    <n v="8"/>
    <n v="0"/>
    <n v="2"/>
    <n v="0"/>
    <n v="4"/>
    <x v="0"/>
  </r>
  <r>
    <s v="Reporte Inversiones"/>
    <s v="Balance Financiero Mensual e Inversiones"/>
    <s v="Resultado Financiero a la Fecha"/>
    <n v="3"/>
    <s v="VAR TipoSeleccionado = SELECTEDVALUE(inversiones[tipo_inversion])_x000a_VAR FechaActual = SELECTEDVALUE(Calendario[PrimerDiaMes])  -- Current month on X axis_x000a_VAR FechaHoy = TODAY()_x000a_VAR FechaInicioInversion =_x000a_   CALCULATE(_x000a_       MIN(inversiones[primer_dia_mes]),_x000a_       FILTER(ALL(inversiones), inversiones[tipo_inversion] = TipoSeleccionado)_x000a_   )_x000a_RETURN_x000a_IF(_x000a_   TipoSeleccionado = &quot;entidad_8&quot;,_x000a_   [Saldo Actual Inversiones] - [Total Inversiones],_x000a_   IF(_x000a_       ISBLANK(FechaActual) ||_x000a_       ISBLANK(FechaInicioInversion) ||_x000a_       FechaActual &gt; FechaHoy ||_x000a_       FechaActual &lt; FechaInicioInversion,_x000a_       BLANK(),_x000a_       VAR cDiariaFiltrada =_x000a_           FILTER(_x000a_               ALL(c_diaria),_x000a_               c_diaria[tipo_inversion_detectado] = TipoSeleccionado &amp;&amp;_x000a_               c_diaria[fecha] &lt;= FechaActual_x000a_           )_x000a_       VAR MontoRetirado =_x000a_           SUMX(_x000a_               FILTER(_x000a_                   cDiariaFiltrada,_x000a_                   CONTAINSSTRING(c_diaria[descripcion], &quot;RETIRO PARCIAL&quot;) ||_x000a_                   CONTAINSSTRING(c_diaria[descripcion], &quot;RETIRO FINAL&quot;)_x000a_               ),_x000a_               c_diaria[monto]_x000a_           )_x000a_       VAR FlujoMovimiento =_x000a_           SUMX(_x000a_               FILTER(_x000a_                   cDiariaFiltrada,_x000a_                   NOT (_x000a_                       CONTAINSSTRING(c_diaria[descripcion], &quot;RETIRO PARCIAL&quot;) ||_x000a_                       CONTAINSSTRING(c_diaria[descripcion], &quot;RETIRO FINAL&quot;) ||_x000a_                       CONTAINSSTRING(c_diaria[descripcion], &quot;RETIRO GANANCIAS&quot;)_x000a_                   )_x000a_               ),_x000a_               c_diaria[monto]_x000a_           )_x000a_       VAR UltimaFechaVisible =_x000a_           CALCULATE(_x000a_               MAX(inversiones[primer_dia_mes]),_x000a_               FILTER(_x000a_                   ALL(inversiones),_x000a_                   inversiones[tipo_inversion] = TipoSeleccionado &amp;&amp;_x000a_                   inversiones[primer_dia_mes] &lt;= FechaActual_x000a_               )_x000a_           )_x000a_       VAR UltimoMontoVisible =_x000a_           CALCULATE(_x000a_               MAX(inversiones[monto]),_x000a_               FILTER(_x000a_                   ALL(inversiones),_x000a_                   inversiones[tipo_inversion] = TipoSeleccionado &amp;&amp;_x000a_                   inversiones[primer_dia_mes] = UltimaFechaVisible_x000a_               )_x000a_           )_x000a_       RETURN_x000a_           IF(_x000a_               NOT ISBLANK(MontoRetirado),_x000a_               MontoRetirado + FlujoMovimiento,_x000a_               UltimoMontoVisible + FlujoMovimiento_x000a_           )_x000a_   )_x000a_)"/>
    <n v="3"/>
    <n v="6"/>
    <n v="3"/>
    <n v="0"/>
    <n v="2"/>
    <n v="0"/>
    <n v="4"/>
    <x v="1"/>
  </r>
  <r>
    <s v="Tooltip inversiones - Balance"/>
    <s v="Resultado Financiero"/>
    <s v="Resultado Financiero a la Fecha"/>
    <n v="3"/>
    <s v="VAR TipoSeleccionado = SELECTEDVALUE(inversiones[tipo_inversion])_x000a_VAR FechaActual = SELECTEDVALUE(Calendario[PrimerDiaMes])  -- Current month on X axis_x000a_VAR FechaHoy = TODAY()_x000a_VAR FechaInicioInversion =_x000a_   CALCULATE(_x000a_       MIN(inversiones[primer_dia_mes]),_x000a_       FILTER(ALL(inversiones), inversiones[tipo_inversion] = TipoSeleccionado)_x000a_   )_x000a_RETURN_x000a_IF(_x000a_   TipoSeleccionado = &quot;entidad_8&quot;,_x000a_   [Saldo Actual Inversiones] - [Total Inversiones],_x000a_   IF(_x000a_       ISBLANK(FechaActual) ||_x000a_       ISBLANK(FechaInicioInversion) ||_x000a_       FechaActual &gt; FechaHoy ||_x000a_       FechaActual &lt; FechaInicioInversion,_x000a_       BLANK(),_x000a_       VAR cDiariaFiltrada =_x000a_           FILTER(_x000a_               ALL(c_diaria),_x000a_               c_diaria[tipo_inversion_detectado] = TipoSeleccionado &amp;&amp;_x000a_               c_diaria[fecha] &lt;= FechaActual_x000a_           )_x000a_       VAR MontoRetirado =_x000a_           SUMX(_x000a_               FILTER(_x000a_                   cDiariaFiltrada,_x000a_                   CONTAINSSTRING(c_diaria[descripcion], &quot;RETIRO PARCIAL&quot;) ||_x000a_                   CONTAINSSTRING(c_diaria[descripcion], &quot;RETIRO FINAL&quot;)_x000a_               ),_x000a_               c_diaria[monto]_x000a_           )_x000a_       VAR FlujoMovimiento =_x000a_           SUMX(_x000a_               FILTER(_x000a_                   cDiariaFiltrada,_x000a_                   NOT (_x000a_                       CONTAINSSTRING(c_diaria[descripcion], &quot;RETIRO PARCIAL&quot;) ||_x000a_                       CONTAINSSTRING(c_diaria[descripcion], &quot;RETIRO FINAL&quot;) ||_x000a_                       CONTAINSSTRING(c_diaria[descripcion], &quot;RETIRO GANANCIAS&quot;)_x000a_                   )_x000a_               ),_x000a_               c_diaria[monto]_x000a_           )_x000a_       VAR UltimaFechaVisible =_x000a_           CALCULATE(_x000a_               MAX(inversiones[primer_dia_mes]),_x000a_               FILTER(_x000a_                   ALL(inversiones),_x000a_                   inversiones[tipo_inversion] = TipoSeleccionado &amp;&amp;_x000a_                   inversiones[primer_dia_mes] &lt;= FechaActual_x000a_               )_x000a_           )_x000a_       VAR UltimoMontoVisible =_x000a_           CALCULATE(_x000a_               MAX(inversiones[monto]),_x000a_               FILTER(_x000a_                   ALL(inversiones),_x000a_                   inversiones[tipo_inversion] = TipoSeleccionado &amp;&amp;_x000a_                   inversiones[primer_dia_mes] = UltimaFechaVisible_x000a_               )_x000a_           )_x000a_       RETURN_x000a_           IF(_x000a_               NOT ISBLANK(MontoRetirado),_x000a_               MontoRetirado + FlujoMovimiento,_x000a_               UltimoMontoVisible + FlujoMovimiento_x000a_           )_x000a_   )_x000a_)"/>
    <n v="3"/>
    <n v="6"/>
    <n v="3"/>
    <n v="0"/>
    <n v="2"/>
    <n v="0"/>
    <n v="4"/>
    <x v="1"/>
  </r>
  <r>
    <s v="Reporte Inversiones"/>
    <s v="Diferencia Periodo Seleccionado"/>
    <s v="Diferencia Periodo Seleccionado"/>
    <m/>
    <s v="VAR FechasSeleccionadas =_x000a_   CALCULATETABLE(_x000a_       VALUES(Calendario[Fecha]),_x000a_       ALLSELECTED(Calendario)_x000a_   )_x000a_VAR FechaMin = MINX(FechasSeleccionadas, Calendario[Fecha])_x000a_VAR FechaMax = MAXX(FechasSeleccionadas, Calendario[Fecha])_x000a_VAR TipoAccesoActual = SELECTEDVALUE(inversiones[tipo_acceso])_x000a_-- Filter only the data in the selected range for this tipo_acceso_x000a_VAR DatosSeleccionados =_x000a_   FILTER(_x000a_       ALL(inversiones),_x000a_       inversiones[fecha_monto] &gt;= FechaMin &amp;&amp;_x000a_       inversiones[fecha_monto] &lt;= FechaMax &amp;&amp;_x000a_       inversiones[tipo_acceso] = TipoAccesoActual_x000a_   )_x000a_-- Get first and last full calendar month inside selection_x000a_VAR PrimerMes =_x000a_   CALCULATE(_x000a_       MINX(DatosSeleccionados, DATE(YEAR(inversiones[fecha_monto]), MONTH(inversiones[fecha_monto]), 1))_x000a_   )_x000a_VAR UltimoMes =_x000a_   CALCULATE(_x000a_       MAXX(DatosSeleccionados, DATE(YEAR(inversiones[fecha_monto]), MONTH(inversiones[fecha_monto]), 1))_x000a_   )_x000a_VAR MontoInicio =_x000a_   CALCULATE(_x000a_       SUM(inversiones[monto]),_x000a_       FILTER(_x000a_           DatosSeleccionados,_x000a_           inversiones[fecha_monto] &gt;= PrimerMes &amp;&amp;_x000a_           inversiones[fecha_monto] &lt; EOMONTH(PrimerMes, 0) + 1_x000a_       )_x000a_   )_x000a_VAR MontoFin =_x000a_   CALCULATE(_x000a_       SUM(inversiones[monto]),_x000a_       FILTER(_x000a_           DatosSeleccionados,_x000a_           inversiones[fecha_monto] &gt;= UltimoMes &amp;&amp;_x000a_           inversiones[fecha_monto] &lt; EOMONTH(UltimoMes, 0) + 1_x000a_       )_x000a_   )_x000a_RETURN_x000a_IF(_x000a_   ISBLANK(MontoInicio) || ISBLANK(MontoFin),_x000a_   BLANK(),_x000a_   MontoFin - MontoInicio_x000a_)"/>
    <n v="5"/>
    <n v="3"/>
    <n v="1"/>
    <n v="0"/>
    <n v="2"/>
    <n v="0"/>
    <n v="2"/>
    <x v="2"/>
  </r>
  <r>
    <s v="Tooltip inversiones - Balance"/>
    <s v="Total Invertido"/>
    <s v="Total Inversiones"/>
    <m/>
    <s v="VAR TipoSeleccionado = SELECTEDVALUE(inversiones[tipo_inversion])_x000a_VAR FechaMax = MAX(Calendario[Fecha])_x000a_-- Pre-filter c_diaria for performance_x000a_VAR cDiariaFiltrada =_x000a_   FILTER(_x000a_       ALL(c_diaria),_x000a_       c_diaria[fecha] &lt;= FechaMax_x000a_   )_x000a_-- Special case: Puntos Premia_x000a_VAR MontoPuntosPremia =_x000a_   CALCULATE(_x000a_       SUM(c_diaria[monto]),_x000a_       FILTER(_x000a_           cDiariaFiltrada,_x000a_           CONTAINSSTRING(c_diaria[descripcion], &quot;Comision Anualidad&quot;) &amp;&amp;_x000a_           CONTAINSSTRING(c_diaria[descripcion], &quot;entidad_2&quot;) &amp;&amp;_x000a_           NOT CONTAINSSTRING(c_diaria[descripcion], &quot;RETIRO GANANCIAS&quot;)_x000a_       )_x000a_   )_x000a_-- Special case: CETES_x000a_VAR MontoCETES =_x000a_   CALCULATE(_x000a_       SUM(c_diaria[monto]),_x000a_       FILTER(_x000a_           cDiariaFiltrada,_x000a_           CONTAINSSTRING(c_diaria[descripcion], &quot;Deposito: entidad_1&quot;) &amp;&amp;_x000a_           NOT CONTAINSSTRING(c_diaria[descripcion], &quot;RETIRO GANANCIAS&quot;)_x000a_       )_x000a_   )_x000a_-- Default case: other types (generic search)_x000a_VAR MontoOtros =_x000a_   CALCULATE(_x000a_       SUM(c_diaria[monto]),_x000a_       FILTER(_x000a_           cDiariaFiltrada,_x000a_           CONTAINSSTRING(c_diaria[descripcion], TipoSeleccionado) &amp;&amp;_x000a_           NOT (_x000a_               CONTAINSSTRING(c_diaria[descripcion], &quot;RETIRO GANANCIAS&quot;) ||_x000a_               CONTAINSSTRING(c_diaria[descripcion], &quot;RETIRO PARCIAL&quot;) ||_x000a_               CONTAINSSTRING(c_diaria[descripcion], &quot;RETIRO FINAL&quot;)_x000a_           )_x000a_       )_x000a_   )_x000a_RETURN_x000a_   ABS(_x000a_       SWITCH(_x000a_           TRUE(),_x000a_           TipoSeleccionado = &quot;entidad_2&quot;, MontoPuntosPremia,_x000a_           TipoSeleccionado = &quot;entidad_1&quot;, MontoCETES,_x000a_           MontoOtros_x000a_       )_x000a_   )"/>
    <n v="3"/>
    <n v="4"/>
    <n v="0"/>
    <n v="1"/>
    <n v="3"/>
    <n v="0"/>
    <n v="1"/>
    <x v="3"/>
  </r>
  <r>
    <s v="Resumen Financiero"/>
    <s v="Horizonte de Sustenabilidad y Fecha Limite"/>
    <s v="Total Presupuesto Regular"/>
    <m/>
    <s v="VAR FechaHoy = TODAY()_x000a_-- 🔎 Filter Regular budgets (exclude Puntual and DINERO)_x000a_VAR PresupuestoFiltrado =_x000a_   FILTER(_x000a_       presupuesto,_x000a_       LEFT(presupuesto[razon_uso], 2) &lt;&gt; &quot;P.&quot; &amp;&amp;_x000a_       NOT CONTAINSSTRING(presupuesto[razon_uso], &quot;DINERO&quot;)_x000a_   )_x000a_-- 🔥 Find the period that includes today_x000a_VAR PeriodoActual =_x000a_   FILTER(_x000a_       PresupuestoFiltrado,_x000a_       presupuesto[inicio_mes] &lt;= FechaHoy &amp;&amp;_x000a_       presupuesto[final_mes] &gt;= FechaHoy_x000a_   )_x000a_-- 🔥 If no period includes today, fallback to the most recent past_x000a_VAR InicioUltimoDisponible =_x000a_   CALCULATE(_x000a_       MAX(presupuesto[inicio_mes]),_x000a_       PresupuestoFiltrado_x000a_   )_x000a_VAR PeriodoUltimo =_x000a_   FILTER(_x000a_       PresupuestoFiltrado,_x000a_       presupuesto[inicio_mes] = InicioUltimoDisponible_x000a_   )_x000a_-- 🏁 Return current period if it exists, else the latest available_x000a_RETURN_x000a_IF(_x000a_   COUNTROWS(PeriodoActual) &gt; 0,_x000a_   CALCULATE(_x000a_       SUM(presupuesto[monto_presupuesto]),_x000a_       PeriodoActual_x000a_   ),_x000a_   CALCULATE(_x000a_       SUM(presupuesto[monto_presupuesto]),_x000a_       PeriodoUltimo_x000a_   )_x000a_)"/>
    <n v="3"/>
    <n v="3"/>
    <n v="1"/>
    <n v="0"/>
    <n v="2"/>
    <n v="0"/>
    <n v="0"/>
    <x v="4"/>
  </r>
  <r>
    <s v="Resumen Financiero"/>
    <s v="Resumen Estado de Pago del Credito"/>
    <s v="Resumen Estado Pago Proximo Mes"/>
    <m/>
    <s v="VAR FechaSeleccionada = MAX(Calendario[Fecha])_x000a_VAR AnoSeleccionado = YEAR(FechaSeleccionada)_x000a_VAR MesSeleccionado = MONTH(FechaSeleccionada)_x000a_-- adjustment of month and day for the next month_x000a_VAR MesSiguiente = IF(MesSeleccionado = 12, 1, MesSeleccionado + 1)_x000a_VAR AnoSiguiente = IF(MesSeleccionado = 12, AnoSeleccionado + 1, AnoSeleccionado)_x000a_-- Look out the row for the next month_x000a_VAR FilaDeuda =_x000a_   FILTER(_x000a_       ALL(creditos),_x000a_       YEAR(creditos[fecha_limite_pago]) = AnoSiguiente &amp;&amp;_x000a_       MONTH(creditos[fecha_limite_pago]) = MesSiguiente_x000a_   )_x000a_VAR TieneFila = COUNTROWS(FilaDeuda)_x000a_VAR FechaInicio = MAXX(FilaDeuda, creditos[fecha_inicio])_x000a_VAR FechaCorte = MAXX(FilaDeuda, creditos[fecha_corte])_x000a_VAR MontoAsociado =_x000a_   CALCULATE(_x000a_       SUM(c_diaria[monto]),_x000a_       FILTER(_x000a_           ALL(c_diaria),_x000a_           c_diaria[fecha] &gt;= FechaInicio &amp;&amp;_x000a_           c_diaria[fecha] &lt;= FechaCorte &amp;&amp;_x000a_           SEARCH(&quot;credito_1&quot;, c_diaria[metodo_pago], 1, 0) &gt; 0 &amp;&amp;_x000a_           SEARCH(&quot;Pago: tarjeta de Credito&quot;, c_diaria[descripcion], 1, 0) = 0_x000a_       )_x000a_   )_x000a_RETURN_x000a_IF(_x000a_   TieneFila = 0,_x000a_   &quot;No hay información del próximo mes&quot;,_x000a_   &quot;Acumulado siguiente pago: &quot; &amp; FORMAT(MontoAsociado, &quot;$#,##0.00&quot;)_x000a_)"/>
    <n v="1"/>
    <n v="2"/>
    <n v="3"/>
    <n v="0"/>
    <n v="1"/>
    <n v="0"/>
    <n v="2"/>
    <x v="4"/>
  </r>
  <r>
    <s v="Resumen Financiero"/>
    <s v="Tendencia Acumulada por Inversion"/>
    <s v="Monto Inversiones Mensual"/>
    <m/>
    <s v="VAR MesesSeleccionados =_x000a_   CALCULATETABLE(_x000a_       VALUES(Calendario[Año Mes]),_x000a_       ALLSELECTED(Calendario)_x000a_   )_x000a_VAR EsUnSoloMes = COUNTROWS(MesesSeleccionados) = 1_x000a_VAR UltimaFechaSeleccionada =_x000a_   CALCULATE(_x000a_       MAX(inversiones[fecha_monto]),_x000a_       ALLSELECTED(Calendario)_x000a_   )_x000a_RETURN_x000a_IF(_x000a_   EsUnSoloMes,_x000a_   SUM(inversiones[monto]),_x000a_   CALCULATE(_x000a_       SUM(inversiones[monto]),_x000a_       inversiones[fecha_monto] = UltimaFechaSeleccionada_x000a_   )_x000a_)"/>
    <n v="3"/>
    <n v="0"/>
    <n v="1"/>
    <n v="0"/>
    <n v="2"/>
    <n v="0"/>
    <n v="2"/>
    <x v="5"/>
  </r>
  <r>
    <s v="Reporte Inversiones"/>
    <s v="Balance Financiero Mensual e Inversiones"/>
    <s v="Saldo Actual Inversiones"/>
    <n v="4"/>
    <s v="VAR TipoSeleccionado = SELECTEDVALUE(inversiones[tipo_inversion])_x000a_-- Max visible date based on actual filtered calendar_x000a_VAR FechaMaximaVisible =_x000a_   CALCULATE(_x000a_       MAX(inversiones[fecha_monto]),_x000a_       FILTER(_x000a_           ALL(inversiones),_x000a_           inversiones[tipo_inversion] = TipoSeleccionado &amp;&amp;_x000a_           inversiones[fecha_monto] IN VALUES(Calendario[Fecha])_x000a_       )_x000a_   )_x000a_VAR MontoVisible =_x000a_   CALCULATE(_x000a_       MAX(inversiones[monto]),_x000a_       FILTER(_x000a_           inversiones,_x000a_           inversiones[tipo_inversion] = TipoSeleccionado &amp;&amp;_x000a_           inversiones[fecha_monto] = FechaMaximaVisible_x000a_       )_x000a_   )_x000a_RETURN_x000a_IF(_x000a_   ISBLANK(FechaMaximaVisible),_x000a_   BLANK(),_x000a_   MontoVisible_x000a_)"/>
    <n v="2"/>
    <n v="2"/>
    <n v="1"/>
    <n v="0"/>
    <n v="0"/>
    <n v="0"/>
    <n v="1"/>
    <x v="6"/>
  </r>
  <r>
    <s v="Tooltip inversiones - Balance"/>
    <s v="Saldo Acumulado"/>
    <s v="Saldo Actual Inversiones"/>
    <n v="4"/>
    <s v="VAR TipoSeleccionado = SELECTEDVALUE(inversiones[tipo_inversion])_x000a_-- Max visible date based on actual filtered calendar_x000a_VAR FechaMaximaVisible =_x000a_   CALCULATE(_x000a_       MAX(inversiones[fecha_monto]),_x000a_       FILTER(_x000a_           ALL(inversiones),_x000a_           inversiones[tipo_inversion] = TipoSeleccionado &amp;&amp;_x000a_           inversiones[fecha_monto] IN VALUES(Calendario[Fecha])_x000a_       )_x000a_   )_x000a_VAR MontoVisible =_x000a_   CALCULATE(_x000a_       MAX(inversiones[monto]),_x000a_       FILTER(_x000a_           inversiones,_x000a_           inversiones[tipo_inversion] = TipoSeleccionado &amp;&amp;_x000a_           inversiones[fecha_monto] = FechaMaximaVisible_x000a_       )_x000a_   )_x000a_RETURN_x000a_IF(_x000a_   ISBLANK(FechaMaximaVisible),_x000a_   BLANK(),_x000a_   MontoVisible_x000a_)"/>
    <n v="2"/>
    <n v="2"/>
    <n v="1"/>
    <n v="0"/>
    <n v="0"/>
    <n v="0"/>
    <n v="1"/>
    <x v="6"/>
  </r>
  <r>
    <s v="Resumen Financiero"/>
    <s v="Gasto Asociados a Viajes"/>
    <s v="Gasto Viajes (Treemap)"/>
    <m/>
    <s v="VAR TotalViajes =_x000a_   CALCULATE(_x000a_       SUM(c_diaria[monto]),_x000a_       c_diaria[ubicacion_viaje_ajustado] &lt;&gt; &quot;Sin Viaje&quot;_x000a_   )_x000a_VAR CategoriaActual = SELECTEDVALUE(c_diaria[ubicacion_viaje_ajustado])_x000a_VAR ValorActual = SUM(c_diaria[monto])_x000a_RETURN_x000a_IF(_x000a_   ISBLANK(TotalViajes),_x000a_   -- ✔️ No viajes → show Sin Viaje only_x000a_   IF(_x000a_       CategoriaActual = &quot;Sin Viaje&quot; &amp;&amp; NOT ISBLANK(ValorActual),_x000a_       ABS(ValorActual) + 0.001,_x000a_       BLANK()_x000a_   ),_x000a_   -- ✔️ Viajes exist → show only real destinos (no Sin Viaje)_x000a_   IF(_x000a_       CategoriaActual &lt;&gt; &quot;Sin Viaje&quot; &amp;&amp; NOT ISBLANK(ValorActual),_x000a_       ABS(ValorActual) + 0.001,_x000a_       BLANK()_x000a_   )_x000a_)"/>
    <n v="1"/>
    <n v="0"/>
    <n v="3"/>
    <n v="0"/>
    <n v="2"/>
    <n v="0"/>
    <n v="0"/>
    <x v="6"/>
  </r>
  <r>
    <s v="Reporte Creditos"/>
    <s v="Monto Disponible vs. Limite Personal"/>
    <s v="Disponible antes del Limite"/>
    <m/>
    <s v="VAR _limite =_x000a_   CALCULATE(_x000a_       MAX(parametros[limite_autoimpuesto]),_x000a_       parametros[parametro] = &quot;credito_1&quot;_x000a_   )_x000a_VAR _ultimo_fecha_corte =_x000a_   CALCULATE(_x000a_       MAX(creditos[fecha_corte]),_x000a_       ALLSELECTED(creditos)_x000a_   )_x000a_VAR _monto_ultimo_periodo =_x000a_   CALCULATE(_x000a_       [Monto Asociado],_x000a_       FILTER(_x000a_           ALL(creditos),_x000a_           creditos[fecha_corte] = _ultimo_fecha_corte_x000a_       )_x000a_   )_x000a_RETURN_x000a_   _limite - _monto_ultimo_periodo"/>
    <n v="3"/>
    <n v="1"/>
    <n v="0"/>
    <n v="0"/>
    <n v="0"/>
    <n v="0"/>
    <n v="2"/>
    <x v="6"/>
  </r>
  <r>
    <s v="Reporte Inversiones"/>
    <s v="Variacion Mensual de Inversiones"/>
    <s v="Monto Mes Anterior"/>
    <m/>
    <s v="VAR CurrentMonth = MAX(Calendario[PrimerDiaMes])_x000a_VAR TipoAccesoActual = SELECTEDVALUE(inversiones[tipo_acceso])_x000a_VAR PrevMonth =_x000a_   MAXX(_x000a_       FILTER(_x000a_           ALL(Calendario),_x000a_           Calendario[PrimerDiaMes] &lt; CurrentMonth &amp;&amp;_x000a_           CALCULATE(_x000a_               COUNTROWS(inversiones),_x000a_               inversiones[tipo_acceso] = TipoAccesoActual,_x000a_               Calendario[PrimerDiaMes] = Calendario[PrimerDiaMes]_x000a_           ) &gt; 0_x000a_       ),_x000a_       Calendario[PrimerDiaMes]_x000a_   )_x000a_RETURN_x000a_CALCULATE(_x000a_   [Monto Mensual],_x000a_   FILTER(_x000a_       ALL(Calendario),_x000a_       Calendario[PrimerDiaMes] = PrevMonth_x000a_   )_x000a_)"/>
    <n v="2"/>
    <n v="2"/>
    <n v="0"/>
    <n v="0"/>
    <n v="0"/>
    <n v="0"/>
    <n v="2"/>
    <x v="6"/>
  </r>
  <r>
    <s v="Resumen Financiero"/>
    <s v="Horizonte de Sustenabilidad y Fecha Limite"/>
    <s v="Total Disponible Inversiones"/>
    <m/>
    <s v="VAR FechaMaxima =_x000a_   CALCULATE(_x000a_       MAX(inversiones[fecha_monto]),_x000a_       FILTER(_x000a_           inversiones,_x000a_           inversiones[tipo_acceso] = &quot;Disponible&quot;_x000a_       )_x000a_   )_x000a_RETURN_x000a_CALCULATE(_x000a_   SUM(inversiones[monto]),_x000a_   FILTER(_x000a_       inversiones,_x000a_       inversiones[tipo_acceso] = &quot;Disponible&quot;_x000a_           &amp;&amp; inversiones[fecha_monto] = FechaMaxima_x000a_   )_x000a_)"/>
    <n v="2"/>
    <n v="2"/>
    <n v="0"/>
    <n v="0"/>
    <n v="1"/>
    <n v="0"/>
    <n v="0"/>
    <x v="7"/>
  </r>
  <r>
    <s v="Tooltip inversiones - Balance"/>
    <s v="Resultado Financiero"/>
    <s v="Generado % Inversiones"/>
    <m/>
    <s v="VAR TipoSeleccionado = SELECTEDVALUE(inversiones[tipo_inversion])_x000a_VAR TotalGenerado = [Resultado Financiero a la Fecha]_x000a_VAR TotalInvertido = [Total Inversiones]_x000a_VAR TotalInvertidoPPR = [Saldo Actual Inversiones]_x000a_RETURN_x000a_IF(_x000a_   ISBLANK(TotalInvertido) || TotalInvertido = 0,_x000a_   1,_x000a_   SWITCH(_x000a_       TRUE(),_x000a_       TipoSeleccionado = &quot;entidad_2&quot;,_x000a_           DIVIDE(TotalGenerado, TotalInvertido + TotalGenerado),_x000a_       TipoSeleccionado = &quot;entidad_8&quot;,_x000a_           DIVIDE(TotalInvertidoPPR - TotalInvertido, TotalInvertido),_x000a_       DIVIDE(TotalGenerado, TotalInvertido)_x000a_   )_x000a_)"/>
    <n v="0"/>
    <n v="0"/>
    <n v="1"/>
    <n v="1"/>
    <n v="0"/>
    <n v="3"/>
    <n v="0"/>
    <x v="7"/>
  </r>
  <r>
    <s v="Resumen Financiero"/>
    <s v="Tendencia Acumulada por Acceso"/>
    <s v="% Monto por inversiones"/>
    <m/>
    <s v="DIVIDE(_x000a_   SUM(inversiones[monto]),_x000a_   CALCULATE(SUM(inversiones[monto]), REMOVEFILTERS(inversiones[tipo_acceso]))_x000a_)"/>
    <n v="1"/>
    <n v="1"/>
    <n v="0"/>
    <n v="0"/>
    <n v="2"/>
    <n v="1"/>
    <n v="0"/>
    <x v="7"/>
  </r>
  <r>
    <s v="Reporte Presupuesto"/>
    <s v="Montos Totales"/>
    <s v="Monto Presupuestado"/>
    <n v="8"/>
    <s v="VAR _fechasSeleccionadas = VALUES(Calendario[Fecha])_x000a_VAR _minFecha = MINX(_fechasSeleccionadas, Calendario[Fecha])_x000a_VAR _maxFecha = MAXX(_fechasSeleccionadas, Calendario[Fecha])_x000a_RETURN_x000a_SUMX(_x000a_   FILTER(_x000a_       presupuesto,_x000a_       presupuesto[inicio_mes] &lt;= _maxFecha &amp;&amp;_x000a_       presupuesto[final_mes] &gt;= _minFecha_x000a_   ),_x000a_   VAR _razon = presupuesto[razon_uso]_x000a_   VAR _isPlanned = LEFT(_razon, 2) = &quot;P.&quot;_x000a_   VAR _monto = presupuesto[monto_presupuesto]_x000a_   VAR _inicio = MAX(presupuesto[inicio_mes], _minFecha)_x000a_   VAR _final = MIN(presupuesto[final_mes], _maxFecha)_x000a_   VAR _meses = DATEDIFF(_inicio, _final, MONTH) + 1_x000a_   RETURN_x000a_       IF(_isPlanned, _monto, _monto * _meses)_x000a_)"/>
    <n v="0"/>
    <n v="1"/>
    <n v="2"/>
    <n v="0"/>
    <n v="1"/>
    <n v="0"/>
    <n v="0"/>
    <x v="8"/>
  </r>
  <r>
    <s v="Tooltip Resumen - Presupuesto"/>
    <s v="Total Presupuestado"/>
    <s v="Monto Presupuestado"/>
    <n v="8"/>
    <s v="VAR _fechasSeleccionadas = VALUES(Calendario[Fecha])_x000a_VAR _minFecha = MINX(_fechasSeleccionadas, Calendario[Fecha])_x000a_VAR _maxFecha = MAXX(_fechasSeleccionadas, Calendario[Fecha])_x000a_RETURN_x000a_SUMX(_x000a_   FILTER(_x000a_       presupuesto,_x000a_       presupuesto[inicio_mes] &lt;= _maxFecha &amp;&amp;_x000a_       presupuesto[final_mes] &gt;= _minFecha_x000a_   ),_x000a_   VAR _razon = presupuesto[razon_uso]_x000a_   VAR _isPlanned = LEFT(_razon, 2) = &quot;P.&quot;_x000a_   VAR _monto = presupuesto[monto_presupuesto]_x000a_   VAR _inicio = MAX(presupuesto[inicio_mes], _minFecha)_x000a_   VAR _final = MIN(presupuesto[final_mes], _maxFecha)_x000a_   VAR _meses = DATEDIFF(_inicio, _final, MONTH) + 1_x000a_   RETURN_x000a_       IF(_isPlanned, _monto, _monto * _meses)_x000a_)"/>
    <n v="0"/>
    <n v="1"/>
    <n v="2"/>
    <n v="0"/>
    <n v="1"/>
    <n v="0"/>
    <n v="0"/>
    <x v="8"/>
  </r>
  <r>
    <s v="Reporte Presupuesto"/>
    <s v="Montos Totales"/>
    <s v="Monto Gastado Dinamico"/>
    <n v="7"/>
    <s v="VAR _razonSeleccionada = VALUES(dim_razon_uso[razon_uso])_x000a_VAR _isRazonFiltrada = IF(COUNTROWS(_razonSeleccionada) &gt;= 1, TRUE(), FALSE())_x000a_RETURN_x000a_CALCULATE(_x000a_   SUM(c_diaria[monto]),_x000a_   NOT dim_razon_uso[razon_uso] IN { &quot;DINERO&quot;, &quot;INGRESO&quot; },_x000a_   IF(_x000a_       _isRazonFiltrada,_x000a_       dim_razon_uso[razon_uso] IN _razonSeleccionada,_x000a_       TRUE()_x000a_   )_x000a_)"/>
    <n v="1"/>
    <n v="0"/>
    <n v="2"/>
    <n v="0"/>
    <n v="1"/>
    <n v="0"/>
    <n v="0"/>
    <x v="8"/>
  </r>
  <r>
    <s v="Tooltip Resumen - Presupuesto"/>
    <s v="Total Presupuestado"/>
    <s v="Monto Gastado Dinamico"/>
    <n v="7"/>
    <s v="VAR _razonSeleccionada = VALUES(dim_razon_uso[razon_uso])_x000a_VAR _isRazonFiltrada = IF(COUNTROWS(_razonSeleccionada) &gt;= 1, TRUE(), FALSE())_x000a_RETURN_x000a_CALCULATE(_x000a_   SUM(c_diaria[monto]),_x000a_   NOT dim_razon_uso[razon_uso] IN { &quot;DINERO&quot;, &quot;INGRESO&quot; },_x000a_   IF(_x000a_       _isRazonFiltrada,_x000a_       dim_razon_uso[razon_uso] IN _razonSeleccionada,_x000a_       TRUE()_x000a_   )_x000a_)"/>
    <n v="1"/>
    <n v="0"/>
    <n v="2"/>
    <n v="0"/>
    <n v="1"/>
    <n v="0"/>
    <n v="0"/>
    <x v="8"/>
  </r>
  <r>
    <s v="Resumen Financiero"/>
    <s v="Estatus Linea de Credito"/>
    <s v="Saldo Credito"/>
    <n v="5"/>
    <s v="CALCULATE(_x000a_   SUM(c_diaria[monto]),_x000a_   FILTER(_x000a_       ALL(c_diaria),_x000a_       c_diaria[fecha] &lt;= TODAY() &amp;&amp;_x000a_       c_diaria[metodo_pago] = &quot;credito_1&quot;_x000a_   )_x000a_)"/>
    <n v="1"/>
    <n v="1"/>
    <n v="0"/>
    <n v="0"/>
    <n v="1"/>
    <n v="0"/>
    <n v="1"/>
    <x v="8"/>
  </r>
  <r>
    <s v="Resumen Financiero"/>
    <s v="Horizonte de Sustenabilidad y Fecha Limite"/>
    <s v="Saldo Credito"/>
    <n v="5"/>
    <s v="CALCULATE(_x000a_   SUM(c_diaria[monto]),_x000a_   FILTER(_x000a_       ALL(c_diaria),_x000a_       c_diaria[fecha] &lt;= TODAY() &amp;&amp;_x000a_       c_diaria[metodo_pago] = &quot;credito_1&quot;_x000a_   )_x000a_)"/>
    <n v="1"/>
    <n v="1"/>
    <n v="0"/>
    <n v="0"/>
    <n v="1"/>
    <n v="0"/>
    <n v="1"/>
    <x v="8"/>
  </r>
  <r>
    <s v="Reporte Creditos"/>
    <s v="Fecha de Inicio"/>
    <s v="fecha_inicio"/>
    <m/>
    <s v="VAR CurrentFecha = creditos[fecha_corte] _x000a_VAR PrevFecha =_x000a_    CALCULATE(_x000a_        MAX(creditos[fecha_corte]), _x000a_        FILTER(_x000a_            creditos, _x000a_            creditos[fecha_corte] &lt; CurrentFecha _x000a_        )_x000a_    )_x000a_RETURN_x000a_    IF(_x000a_        ISBLANK(PrevFecha),_x000a_        DATE(2024, 9, 10),       -- 👈 your hardcoded first fecha_inicio_x000a_        PrevFecha + 1_x000a_    )"/>
    <n v="1"/>
    <n v="1"/>
    <n v="1"/>
    <n v="0"/>
    <n v="0"/>
    <n v="0"/>
    <n v="0"/>
    <x v="9"/>
  </r>
  <r>
    <s v="Reporte Creditos"/>
    <s v="Gasto en Credito por Periodo de Facturacion"/>
    <s v="Monto Asociado"/>
    <m/>
    <s v="VAR FechaInicio = SELECTEDVALUE(creditos[fecha_inicio])_x000a_VAR FechaCorte = SELECTEDVALUE(creditos[fecha_corte])_x000a_RETURN_x000a_   CALCULATE(_x000a_       SUM(c_diaria[monto]),_x000a_       FILTER(_x000a_           c_diaria,_x000a_           c_diaria[fecha] &gt;= FechaInicio &amp;&amp;_x000a_           c_diaria[fecha] &lt;= FechaCorte &amp;&amp;_x000a_           SEARCH(&quot;credito_1&quot;, c_diaria[metodo_pago], 1, 0) &gt; 0 &amp;&amp;_x000a_           SEARCH(&quot;Pago: tarjeta de Credito&quot;, c_diaria[descripcion], 1, 0) = 0_x000a_       )_x000a_   )"/>
    <n v="1"/>
    <n v="1"/>
    <n v="0"/>
    <n v="0"/>
    <n v="1"/>
    <n v="0"/>
    <n v="0"/>
    <x v="9"/>
  </r>
  <r>
    <s v="Resumen Financiero"/>
    <s v="Horizonte de Sustenabilidad y Fecha Limite"/>
    <s v="Total Presupuesto Especifico"/>
    <m/>
    <s v="CALCULATE(_x000a_   SUM(presupuesto[monto_presupuesto]),_x000a_   FILTER(_x000a_       presupuesto,_x000a_       LEFT(presupuesto[razon_uso], 2) = &quot;P.&quot; &amp;&amp;_x000a_       presupuesto[inicio_mes] &gt; TODAY()_x000a_   )_x000a_)"/>
    <n v="1"/>
    <n v="1"/>
    <n v="0"/>
    <n v="0"/>
    <n v="1"/>
    <n v="0"/>
    <n v="0"/>
    <x v="9"/>
  </r>
  <r>
    <s v="Reporte Inversiones"/>
    <s v="Monto por Inversion"/>
    <s v="Monto Reciente Por Acceso"/>
    <m/>
    <s v="VAR AccesoActual = SELECTEDVALUE(inversiones[tipo_acceso])_x000a_VAR FechaMaxima =_x000a_   CALCULATE(_x000a_       MAX(inversiones[fecha_monto]),_x000a_       inversiones[tipo_acceso] = AccesoActual_x000a_   )_x000a_RETURN_x000a_CALCULATE(_x000a_   SUM(inversiones[monto]),_x000a_   inversiones[tipo_acceso] = AccesoActual &amp;&amp;_x000a_   inversiones[fecha_monto] = FechaMaxima_x000a_)"/>
    <n v="2"/>
    <n v="0"/>
    <n v="0"/>
    <n v="0"/>
    <n v="1"/>
    <n v="0"/>
    <n v="0"/>
    <x v="9"/>
  </r>
  <r>
    <s v="Reporte Inversiones"/>
    <s v="Variacion Mensual de Inversiones"/>
    <s v="Monto Mensual"/>
    <m/>
    <s v="CALCULATE(_x000a_   SUM(inversiones[monto]),_x000a_   ALLEXCEPT(inversiones, inversiones[tipo_acceso]),_x000a_   VALUES(Calendario[PrimerDiaMes])_x000a_)"/>
    <n v="1"/>
    <n v="0"/>
    <n v="0"/>
    <n v="0"/>
    <n v="1"/>
    <n v="0"/>
    <n v="1"/>
    <x v="9"/>
  </r>
  <r>
    <s v="Resumen Financiero"/>
    <s v="Balance Metodo de Pago"/>
    <s v="Saldo Actual"/>
    <m/>
    <s v="CALCULATE(_x000a_   SUM(c_diaria[monto]),_x000a_   c_diaria[fecha] &lt;= TODAY()_x000a_)"/>
    <n v="1"/>
    <n v="0"/>
    <n v="0"/>
    <n v="0"/>
    <n v="1"/>
    <n v="0"/>
    <n v="0"/>
    <x v="10"/>
  </r>
  <r>
    <s v="Reporte Presupuesto"/>
    <s v="Descripcion por Presupuesto Especifico"/>
    <s v="Mostrar Descripcion"/>
    <m/>
    <s v="VAR _fechasSeleccionadas = VALUES(Calendario[Fecha])_x000a_VAR _minFecha = MINX(_fechasSeleccionadas, Calendario[Fecha])_x000a_VAR _maxFecha = MAXX(_fechasSeleccionadas, Calendario[Fecha])_x000a_VAR _currentRazon = SELECTEDVALUE(presupuesto[razon_uso])_x000a_VAR _currentDescripcion = SELECTEDVALUE(presupuesto[descripcion])_x000a_RETURN_x000a_IF (_x000a_   COUNTROWS (_x000a_       FILTER (_x000a_           presupuesto,_x000a_           presupuesto[inicio_mes] &lt;= _maxFecha &amp;&amp;_x000a_           presupuesto[final_mes] &gt;= _minFecha &amp;&amp;_x000a_           presupuesto[razon_uso] = _currentRazon &amp;&amp;_x000a_           presupuesto[descripcion] = _currentDescripcion_x000a_       )_x000a_   ) &gt; 0,_x000a_   1,_x000a_   0_x000a_)"/>
    <n v="0"/>
    <n v="1"/>
    <n v="1"/>
    <n v="0"/>
    <n v="0"/>
    <n v="0"/>
    <n v="0"/>
    <x v="10"/>
  </r>
  <r>
    <s v="Tooltip Viajes"/>
    <s v="Duracion Viaje"/>
    <s v="Duracion del viaje"/>
    <m/>
    <s v="VAR FechaInicio = SELECTEDVALUE(viajes[desde])_x000a_VAR FechaFin = SELECTEDVALUE(viajes[hasta])_x000a_RETURN_x000a_IF(_x000a_   NOT ISBLANK(FechaInicio) &amp;&amp; NOT ISBLANK(FechaFin),_x000a_   DATEDIFF(FechaInicio, FechaFin, DAY),_x000a_   BLANK()_x000a_)"/>
    <n v="0"/>
    <n v="0"/>
    <n v="2"/>
    <n v="0"/>
    <n v="0"/>
    <n v="0"/>
    <n v="0"/>
    <x v="10"/>
  </r>
  <r>
    <s v="Reporte Viajes"/>
    <s v="Filtro por Ubicacion"/>
    <s v="Filtro Ubicacion de Viaje"/>
    <m/>
    <s v="CALCULATE(_x000a_   COUNTROWS(c_diaria),_x000a_   FILTER(_x000a_       c_diaria,_x000a_       c_diaria[ubicacion_viaje_ajustado] = SELECTEDVALUE(viajes[ubicacion_viajes])_x000a_   )_x000a_)"/>
    <n v="1"/>
    <n v="1"/>
    <n v="0"/>
    <n v="0"/>
    <n v="0"/>
    <n v="0"/>
    <n v="0"/>
    <x v="10"/>
  </r>
  <r>
    <s v="Resumen Financiero"/>
    <s v="Porcentaje Utilizado del Presupuesto"/>
    <s v="% Presupuesto"/>
    <m/>
    <s v="VAR Presup = [Monto Presupuestado]_x000a_VAR Gastado = [Monto Gastado Dinamico]_x000a_RETURN_x000a_IF(_x000a_   Presup = 0 || ISBLANK(Presup),_x000a_   BLANK(),_x000a_   DIVIDE(Gastado, Presup)_x000a_)"/>
    <n v="0"/>
    <n v="0"/>
    <n v="1"/>
    <n v="0"/>
    <n v="0"/>
    <n v="1"/>
    <n v="0"/>
    <x v="10"/>
  </r>
  <r>
    <s v="Resumen Financiero"/>
    <s v="Razon de Uso"/>
    <s v="Filtro Razon de Uso"/>
    <m/>
    <s v="CALCULATE(_x000a_   COUNTROWS(c_diaria),_x000a_   FILTER(_x000a_       c_diaria,_x000a_       c_diaria[razon_uso] = SELECTEDVALUE(dim_razon_uso[razon_uso])_x000a_   )_x000a_)"/>
    <n v="1"/>
    <n v="1"/>
    <n v="0"/>
    <n v="0"/>
    <n v="0"/>
    <n v="0"/>
    <n v="0"/>
    <x v="10"/>
  </r>
  <r>
    <s v="Reporte Viajes"/>
    <s v="Viajes Agrupados"/>
    <s v="grupo_conteo"/>
    <m/>
    <s v="grupo_conteo = _x000a_CALCULATE(_x000a_    COUNTROWS('viajes'),_x000a_    ALLEXCEPT('viajes', 'viajes'[grupo_viaje])_x000a_)"/>
    <n v="1"/>
    <n v="0"/>
    <n v="0"/>
    <n v="0"/>
    <n v="0"/>
    <n v="0"/>
    <n v="1"/>
    <x v="10"/>
  </r>
  <r>
    <s v="Resumen Financiero"/>
    <s v="Gasto Asociados a Viajes"/>
    <s v="Gasto Real Viajes"/>
    <n v="9"/>
    <s v="SUM(c_diaria[monto])"/>
    <n v="0"/>
    <n v="0"/>
    <n v="0"/>
    <n v="0"/>
    <n v="1"/>
    <n v="0"/>
    <n v="0"/>
    <x v="11"/>
  </r>
  <r>
    <s v="Tooltip Resumen - Viajes"/>
    <s v="Monto Utilizado"/>
    <s v="Gasto Real Viajes"/>
    <n v="9"/>
    <s v="SUM(c_diaria[monto])"/>
    <n v="0"/>
    <n v="0"/>
    <n v="0"/>
    <n v="0"/>
    <n v="1"/>
    <n v="0"/>
    <n v="0"/>
    <x v="11"/>
  </r>
  <r>
    <s v="Tooltip inversiones"/>
    <s v="Monto por Inversion"/>
    <s v="Diferencia Mensual"/>
    <n v="6"/>
    <s v="VAR CurrentMonto = [Monto Mensual]_x000a_VAR PrevMonto = [Monto Mes Anterior]_x000a_RETURN_x000a_IF(ISBLANK(PrevMonto), BLANK(), CurrentMonto - PrevMonto)"/>
    <n v="0"/>
    <n v="0"/>
    <n v="1"/>
    <n v="0"/>
    <n v="0"/>
    <n v="0"/>
    <n v="0"/>
    <x v="11"/>
  </r>
  <r>
    <s v="Reporte Inversiones"/>
    <s v="Variacion Mensual de Inversiones"/>
    <s v="Diferencia Mensual"/>
    <n v="6"/>
    <s v="VAR CurrentMonto = [Monto Mensual]_x000a_VAR PrevMonto = [Monto Mes Anterior]_x000a_RETURN_x000a_IF(ISBLANK(PrevMonto), BLANK(), CurrentMonto - PrevMonto)"/>
    <n v="0"/>
    <n v="0"/>
    <n v="1"/>
    <n v="0"/>
    <n v="0"/>
    <n v="0"/>
    <n v="0"/>
    <x v="11"/>
  </r>
  <r>
    <s v="Reporte Viajes"/>
    <s v="Detalles Viajes"/>
    <s v="Total Gastado Clave"/>
    <n v="2"/>
    <s v="SUM('c_diaria'[monto])"/>
    <n v="0"/>
    <n v="0"/>
    <n v="0"/>
    <n v="0"/>
    <n v="1"/>
    <n v="0"/>
    <n v="0"/>
    <x v="11"/>
  </r>
  <r>
    <s v="Reporte Viajes"/>
    <s v="Gasto Total por Clave"/>
    <s v="Total Gastado Clave"/>
    <n v="2"/>
    <s v="SUM('c_diaria'[monto])"/>
    <n v="0"/>
    <n v="0"/>
    <n v="0"/>
    <n v="0"/>
    <n v="1"/>
    <n v="0"/>
    <n v="0"/>
    <x v="11"/>
  </r>
  <r>
    <s v="Reporte Inversiones"/>
    <s v="Balance Financiero Mensual e Inversiones"/>
    <s v="tipo_inversion_detectado"/>
    <m/>
    <s v="VAR Lista = _x000a_    FILTER(_x000a_        'dim_tipo_inversion',_x000a_        SEARCH('dim_tipo_inversion'[tipo_inversion], c_diaria[descripcion], 1, 0) &gt; 0_x000a_    )_x000a_RETURN_x000a_    MAXX(Lista, 'dim_tipo_inversion'[tipo_inversion])"/>
    <n v="0"/>
    <n v="1"/>
    <n v="0"/>
    <n v="0"/>
    <n v="0"/>
    <n v="0"/>
    <n v="0"/>
    <x v="11"/>
  </r>
  <r>
    <s v="Reporte Creditos"/>
    <s v="Detalle de Transacciones"/>
    <s v="Mostrar Transaccion"/>
    <m/>
    <s v="VAR FechaInicio = [Seleccion Fecha Inicio]_x000a_VAR FechaCorte  = [Seleccion Fecha Corte]_x000a_VAR MetodoPago  = SELECTEDVALUE(c_diaria[metodo_pago])_x000a_VAR Descripcion = SELECTEDVALUE(c_diaria[descripcion])_x000a_VAR Fecha       = SELECTEDVALUE(c_diaria[fecha])_x000a_VAR EsMetodoCredito =_x000a_   NOT ISBLANK(MetodoPago) &amp;&amp;_x000a_   SEARCH(&quot;credito&quot;, LOWER(MetodoPago), 1, 0) &gt; 0_x000a_VAR EsDescripcionValida =_x000a_   NOT ISBLANK(Descripcion) &amp;&amp;_x000a_   LEFT(Descripcion, 25) &lt;&gt; &quot;Pago: Tarjeta de Credito&quot;_x000a_VAR EsFechaValida =_x000a_   Fecha &gt;= FechaInicio &amp;&amp;_x000a_   Fecha &lt;= FechaCorte_x000a_RETURN_x000a_IF(EsMetodoCredito &amp;&amp; EsDescripcionValida &amp;&amp; EsFechaValida, 1)"/>
    <n v="0"/>
    <n v="0"/>
    <n v="1"/>
    <n v="0"/>
    <n v="0"/>
    <n v="0"/>
    <n v="0"/>
    <x v="11"/>
  </r>
  <r>
    <s v="Resumen Financiero"/>
    <s v="Estatus Linea de Credito"/>
    <s v="Limite Credito"/>
    <m/>
    <s v="CALCULATE(_x000a_   MAX(parametros[valor]),_x000a_   parametros[parametro] = &quot;credito_1&quot;_x000a_)"/>
    <n v="1"/>
    <n v="0"/>
    <n v="0"/>
    <n v="0"/>
    <n v="0"/>
    <n v="0"/>
    <n v="0"/>
    <x v="11"/>
  </r>
  <r>
    <s v="Reporte Creditos"/>
    <s v="Estatus Pago del Credito"/>
    <s v="simbolo_listo_para_pago"/>
    <m/>
    <s v="simbolo_listo_para_pago = _x000a_    IF(creditos[listo_para_pago] = &quot;si&quot;, &quot;✔️&quot;, &quot;❌&quot;)"/>
    <n v="0"/>
    <n v="0"/>
    <n v="1"/>
    <n v="0"/>
    <n v="0"/>
    <n v="0"/>
    <n v="0"/>
    <x v="11"/>
  </r>
  <r>
    <s v="General"/>
    <s v="Filtro por Fecha"/>
    <s v="Calendario"/>
    <m/>
    <s v="ADDCOLUMNS(_x000a_    SELECTCOLUMNS(_x000a_        CALENDAR(DATE(2015,4,28), DATE(2026,12,31)),_x000a_        &quot;Fecha&quot;, [Date]_x000a_    ),_x000a_    &quot;Año&quot;, YEAR([Fecha]),_x000a_    &quot;Mes&quot;, SWITCH(_x000a_        MONTH([Fecha]),_x000a_        1, &quot;Enero&quot;,_x000a_        2, &quot;Febrero&quot;,_x000a_        3, &quot;Marzo&quot;,_x000a_        4, &quot;Abril&quot;,_x000a_        5, &quot;Mayo&quot;,_x000a_        6, &quot;Junio&quot;,_x000a_        7, &quot;Julio&quot;,_x000a_        8, &quot;Agosto&quot;,_x000a_        9, &quot;Septiembre&quot;,_x000a_        10, &quot;Octubre&quot;,_x000a_        11, &quot;Noviembre&quot;,_x000a_        12, &quot;Diciembre&quot;_x000a_    ),_x000a_    &quot;Numero del Mes&quot;, MONTH([Fecha]),_x000a_    &quot;Dia&quot;, DAY([Fecha]),_x000a_    &quot;Año Mes&quot;, FORMAT([Fecha], &quot;YYYY-MM&quot;),_x000a_    &quot;Mes Año&quot;, FORMAT([Fecha], &quot;MMM YYYY&quot;),_x000a_    &quot;PrimerDiaMes&quot;, DATE(YEAR([Fecha]), MONTH([Fecha]), 1),_x000a_    &quot;FinMes&quot;, EOMONTH([Fecha], 0)_x000a_)"/>
    <n v="0"/>
    <n v="0"/>
    <n v="0"/>
    <n v="1"/>
    <n v="0"/>
    <n v="0"/>
    <n v="0"/>
    <x v="11"/>
  </r>
  <r>
    <s v="Resumen Financiero"/>
    <s v="Gasto Asociados a Viajes"/>
    <s v="ubicacion_viaje_ajustado"/>
    <m/>
    <s v="ubicacion_viaje_ajustado = _x000a_VAR UbicacionViaje =_x000a_    LOOKUPVALUE(_x000a_        viajes[ubicacion_viajes],_x000a_        viajes[id_viaje], c_diaria[id_viaje]_x000a_    )_x000a_RETURN_x000a_    IF(_x000a_        ISBLANK(UbicacionViaje),_x000a_        &quot;Sin Viaje&quot;,_x000a_        UbicacionViaje_x000a_    )"/>
    <n v="0"/>
    <n v="0"/>
    <n v="1"/>
    <n v="0"/>
    <n v="0"/>
    <n v="0"/>
    <n v="0"/>
    <x v="11"/>
  </r>
  <r>
    <s v="Resumen Financiero"/>
    <s v="Horizonte de Sustenabilidad y Fecha Limite"/>
    <s v="Meses de Sostenibilidad"/>
    <m/>
    <s v="DIVIDE(_x000a_   ([Total Disponible Inversiones] + [Saldo Credito]) + [Total Presupuesto Especifico],_x000a_   - [Total Presupuesto Regular]_x000a_)"/>
    <n v="0"/>
    <n v="0"/>
    <n v="0"/>
    <n v="0"/>
    <n v="0"/>
    <n v="1"/>
    <n v="0"/>
    <x v="11"/>
  </r>
  <r>
    <s v="Reporte Presupuesto"/>
    <s v="Restante para Gastar"/>
    <s v="Restante para Gastar"/>
    <m/>
    <s v="[Monto Presupuestado] -_x000a_IF([Monto Gastado Dinamico] &gt; 0, [Monto Gastado Dinamico] * -1, [Monto Gastado Dinamico])"/>
    <n v="0"/>
    <n v="0"/>
    <n v="1"/>
    <n v="0"/>
    <n v="0"/>
    <n v="0"/>
    <n v="0"/>
    <x v="11"/>
  </r>
  <r>
    <s v="Reporte Inversiones"/>
    <s v="Balance Financiero Mensual e Inversiones"/>
    <s v="dim_tipo_inversion"/>
    <m/>
    <s v="dim_tipo_inversion = _x000a_DISTINCT(SELECTCOLUMNS(inversiones, &quot;tipo_inversion&quot;, inversiones[tipo_inversion]))"/>
    <n v="0"/>
    <n v="0"/>
    <n v="0"/>
    <n v="0"/>
    <n v="0"/>
    <n v="0"/>
    <n v="0"/>
    <x v="12"/>
  </r>
  <r>
    <s v="Reporte Viajes"/>
    <s v="Filtro por Ubicacion"/>
    <s v="id_viaje_descripcion"/>
    <n v="1"/>
    <s v="id_viaje_descripcion = _x000a_'viajes'[id_viaje] &amp; &quot; - &quot; &amp; 'viajes'[descripcion]"/>
    <n v="0"/>
    <n v="0"/>
    <n v="0"/>
    <n v="0"/>
    <n v="0"/>
    <n v="0"/>
    <n v="0"/>
    <x v="12"/>
  </r>
  <r>
    <s v="Reporte Viajes"/>
    <s v="Viajes Agrupados"/>
    <s v="id_viaje_descripcion"/>
    <n v="1"/>
    <s v="id_viaje_descripcion = _x000a_'viajes'[id_viaje] &amp; &quot; - &quot; &amp; 'viajes'[descripcion]"/>
    <n v="0"/>
    <n v="0"/>
    <n v="0"/>
    <n v="0"/>
    <n v="0"/>
    <n v="0"/>
    <n v="0"/>
    <x v="12"/>
  </r>
  <r>
    <s v="Reporte Inversiones"/>
    <s v="Balance Financiero Mensual e Inversiones"/>
    <s v="primer_dia_mes"/>
    <m/>
    <s v="primer_dia_mes = _x000a_    DATE(YEAR(inversiones[fecha_monto]), MONTH(inversiones[fecha_monto]), 1)"/>
    <n v="0"/>
    <n v="0"/>
    <n v="0"/>
    <n v="0"/>
    <n v="0"/>
    <n v="0"/>
    <n v="0"/>
    <x v="12"/>
  </r>
  <r>
    <s v="Reporte Presupuesto"/>
    <s v="Comparativa por Presupuesto"/>
    <s v="Monto Gastado (Visual)"/>
    <m/>
    <s v="ABS([Monto Gastado Dinamico])"/>
    <n v="0"/>
    <n v="0"/>
    <n v="0"/>
    <n v="0"/>
    <n v="0"/>
    <n v="0"/>
    <n v="0"/>
    <x v="12"/>
  </r>
  <r>
    <s v="Reporte Presupuesto"/>
    <s v="Comparativa por Presupuesto"/>
    <s v="Monto Presupuestado(Visual)"/>
    <m/>
    <s v="ABS([Monto Presupuestado])"/>
    <n v="0"/>
    <n v="0"/>
    <n v="0"/>
    <n v="0"/>
    <n v="0"/>
    <n v="0"/>
    <n v="0"/>
    <x v="12"/>
  </r>
  <r>
    <s v="Reporte Creditos"/>
    <s v="Detalle de Transacciones"/>
    <s v="Seleccion Fecha Corte"/>
    <m/>
    <s v="MAX(creditos[fecha_corte])"/>
    <n v="0"/>
    <n v="0"/>
    <n v="0"/>
    <n v="0"/>
    <n v="0"/>
    <n v="0"/>
    <n v="0"/>
    <x v="12"/>
  </r>
  <r>
    <s v="Reporte Creditos"/>
    <s v="Detalle de Transacciones"/>
    <s v="Seleccion Fecha Inicio"/>
    <m/>
    <s v="MIN(creditos[fecha_inicio])"/>
    <n v="0"/>
    <n v="0"/>
    <n v="0"/>
    <n v="0"/>
    <n v="0"/>
    <n v="0"/>
    <n v="0"/>
    <x v="12"/>
  </r>
  <r>
    <s v="Tooltip inversiones"/>
    <s v="Disponible"/>
    <s v="sin formula"/>
    <m/>
    <s v="sin formula"/>
    <n v="0"/>
    <n v="0"/>
    <n v="0"/>
    <n v="0"/>
    <n v="0"/>
    <n v="0"/>
    <n v="0"/>
    <x v="12"/>
  </r>
  <r>
    <s v="Resumen Financiero"/>
    <s v="Estatus Linea de Credito"/>
    <s v="Credito Disponible"/>
    <m/>
    <s v="[Limite Credito] + [Saldo credito]"/>
    <n v="0"/>
    <n v="0"/>
    <n v="0"/>
    <n v="0"/>
    <n v="0"/>
    <n v="0"/>
    <n v="0"/>
    <x v="12"/>
  </r>
  <r>
    <s v="Reporte Creditos"/>
    <s v="Fecha de Corte"/>
    <s v="sin formula"/>
    <m/>
    <s v="sin formula"/>
    <n v="0"/>
    <n v="0"/>
    <n v="0"/>
    <n v="0"/>
    <n v="0"/>
    <n v="0"/>
    <n v="0"/>
    <x v="12"/>
  </r>
  <r>
    <s v="Reporte Creditos"/>
    <s v="Fecha Limite de Pago"/>
    <s v="sin formula"/>
    <m/>
    <s v="sin formula"/>
    <n v="0"/>
    <n v="0"/>
    <n v="0"/>
    <n v="0"/>
    <n v="0"/>
    <n v="0"/>
    <n v="0"/>
    <x v="12"/>
  </r>
  <r>
    <s v="Resumen Financiero"/>
    <s v="Horizonte de Sustenabilidad y Fecha Limite"/>
    <s v="Meses y Días Sostenibilidad (con Fecha)"/>
    <m/>
    <s v="VAR MesesDec = [Meses de Sostenibilidad]_x000a_VAR MesesEnteros = INT(MesesDec)_x000a_VAR Dias = ROUND((MesesDec - MesesEnteros) * 30, 0)_x000a_-- Add full months using EDATE_x000a_VAR FechaIntermedia = EDATE(TODAY(), MesesEnteros)_x000a_-- Add remaining days on top of that_x000a_VAR FechaMax = FechaIntermedia + Dias_x000a_-- Format the final date in Spanish with proper capitalization_x000a_VAR FechaFormateada =_x000a_   FORMAT(FechaMax, &quot;dd&quot;) &amp; &quot; /&quot; &amp;_x000a_   UPPER(LEFT(FORMAT(FechaMax, &quot;mmmm&quot;),1)) &amp;_x000a_   MID(FORMAT(FechaMax, &quot;mmmm&quot;),2,LEN(FORMAT(FechaMax, &quot;mmmm&quot;))) &amp;_x000a_   &quot;/ &quot; &amp; FORMAT(FechaMax, &quot;yyyy&quot;)_x000a_RETURN_x000a_FORMAT(MesesEnteros, &quot;0&quot;) &amp; &quot; meses y &quot; &amp;_x000a_FORMAT(Dias, &quot;0&quot;) &amp; &quot; días&quot; &amp; UNICHAR(10) &amp;_x000a_&quot;Fecha Máxima: &quot; &amp; FechaFormateada"/>
    <n v="0"/>
    <n v="0"/>
    <n v="0"/>
    <n v="0"/>
    <n v="0"/>
    <n v="0"/>
    <n v="0"/>
    <x v="12"/>
  </r>
  <r>
    <s v="Reporte Presupuesto"/>
    <s v="Ingresos"/>
    <s v="sin formula"/>
    <m/>
    <s v="sin formula"/>
    <n v="0"/>
    <n v="0"/>
    <n v="0"/>
    <n v="0"/>
    <n v="0"/>
    <n v="0"/>
    <n v="0"/>
    <x v="12"/>
  </r>
  <r>
    <s v="Tooltip Viajes"/>
    <s v="Lugar Visitado"/>
    <s v="ubicacion_completa"/>
    <m/>
    <s v="SELECTEDVALUE('viajes'[ubicacion_viajes]) &amp; &quot;, &quot; &amp;_x000a_SELECTEDVALUE('geografia'[estado_region]) &amp; &quot;, &quot; &amp;_x000a_SELECTEDVALUE('geografia'[pais])"/>
    <n v="0"/>
    <n v="0"/>
    <n v="0"/>
    <n v="0"/>
    <n v="0"/>
    <n v="0"/>
    <n v="0"/>
    <x v="12"/>
  </r>
  <r>
    <s v="Reporte Viajes"/>
    <s v="Mapa Gastos de Viaje"/>
    <s v="sin formula"/>
    <m/>
    <s v="sin formula"/>
    <n v="0"/>
    <n v="0"/>
    <n v="0"/>
    <n v="0"/>
    <n v="0"/>
    <n v="0"/>
    <n v="0"/>
    <x v="12"/>
  </r>
  <r>
    <s v="Tooltip inversiones"/>
    <s v="No Disponible"/>
    <s v="sin formula"/>
    <m/>
    <s v="sin formula"/>
    <n v="0"/>
    <n v="0"/>
    <n v="0"/>
    <n v="0"/>
    <n v="0"/>
    <n v="0"/>
    <n v="0"/>
    <x v="12"/>
  </r>
  <r>
    <s v="Tooltip Viajes"/>
    <s v="Numero de Viajes"/>
    <s v="sin formula"/>
    <m/>
    <s v="sin formula"/>
    <n v="0"/>
    <n v="0"/>
    <n v="0"/>
    <n v="0"/>
    <n v="0"/>
    <n v="0"/>
    <n v="0"/>
    <x v="12"/>
  </r>
  <r>
    <s v="Resumen Financiero"/>
    <s v="Resumen Estado de Pago del Credito"/>
    <s v="Resumen Pago Combinado"/>
    <m/>
    <s v="VAR LineBreak = UNICHAR(10)_x000a_VAR ForcedBlankLine = LineBreak &amp; UNICHAR(8203) &amp; LineBreak  -- zero-width space between breaks_x000a_RETURN_x000a_   [Resumen Estado Pago General] &amp;_x000a_   ForcedBlankLine &amp;_x000a_   [Resumen Estado Pago Proximo Mes]"/>
    <n v="0"/>
    <n v="0"/>
    <n v="0"/>
    <n v="0"/>
    <n v="0"/>
    <n v="0"/>
    <n v="0"/>
    <x v="12"/>
  </r>
  <r>
    <s v="Reporte Inversiones"/>
    <s v="Tendencia Acumulada de Inversiones"/>
    <s v="sin formula"/>
    <m/>
    <s v="sin formula"/>
    <n v="0"/>
    <n v="0"/>
    <n v="0"/>
    <n v="0"/>
    <n v="0"/>
    <n v="0"/>
    <n v="0"/>
    <x v="12"/>
  </r>
  <r>
    <s v="Reporte Inversiones"/>
    <s v="Tipo de Inversion"/>
    <s v="sin formula"/>
    <m/>
    <s v="sin formula"/>
    <n v="0"/>
    <n v="0"/>
    <n v="0"/>
    <n v="0"/>
    <n v="0"/>
    <n v="0"/>
    <n v="0"/>
    <x v="12"/>
  </r>
  <r>
    <s v="Reporte Viajes"/>
    <s v="Viajes Agrupados"/>
    <s v="grupo_viaje_descripcion"/>
    <m/>
    <s v="grupo_viaje_descripcion = _x000a_'viajes'[grupo_viaje] &amp; &quot; - &quot; &amp; 'viajes'[viaje_principal] &amp; &quot;, &quot; &amp;_x000a_LOOKUPVALUE(_x000a_    'geografia'[pais],_x000a_    'geografia'[ubicacion_viajes], 'viajes'[viaje_principal]_x000a_)"/>
    <n v="0"/>
    <n v="0"/>
    <n v="0"/>
    <n v="0"/>
    <n v="0"/>
    <n v="0"/>
    <n v="0"/>
    <x v="12"/>
  </r>
  <r>
    <s v="Reporte Creditos"/>
    <s v="Filtro por Periodo"/>
    <s v="sin formula"/>
    <m/>
    <s v="sin formula"/>
    <n v="0"/>
    <n v="0"/>
    <n v="0"/>
    <n v="0"/>
    <n v="0"/>
    <n v="0"/>
    <n v="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07B28-8F6A-4544-988A-0BCC01777356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uenta de total_complejidad" fld="12" subtotal="countNums" baseField="1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C9F1-70C0-4001-9C9C-B324A388A6BC}">
  <sheetPr codeName="Hoja1"/>
  <dimension ref="A3:B17"/>
  <sheetViews>
    <sheetView workbookViewId="0">
      <selection activeCell="A3" sqref="A3:B16"/>
    </sheetView>
  </sheetViews>
  <sheetFormatPr baseColWidth="10" defaultRowHeight="14.5" x14ac:dyDescent="0.35"/>
  <cols>
    <col min="1" max="1" width="17.1796875" bestFit="1" customWidth="1"/>
    <col min="2" max="2" width="26" bestFit="1" customWidth="1"/>
  </cols>
  <sheetData>
    <row r="3" spans="1:2" x14ac:dyDescent="0.35">
      <c r="A3" s="1" t="s">
        <v>157</v>
      </c>
      <c r="B3" t="s">
        <v>163</v>
      </c>
    </row>
    <row r="4" spans="1:2" x14ac:dyDescent="0.35">
      <c r="A4" s="2">
        <v>21</v>
      </c>
      <c r="B4">
        <v>1</v>
      </c>
    </row>
    <row r="5" spans="1:2" x14ac:dyDescent="0.35">
      <c r="A5" s="2">
        <v>18</v>
      </c>
      <c r="B5">
        <v>2</v>
      </c>
    </row>
    <row r="6" spans="1:2" x14ac:dyDescent="0.35">
      <c r="A6" s="2">
        <v>13</v>
      </c>
      <c r="B6">
        <v>1</v>
      </c>
    </row>
    <row r="7" spans="1:2" x14ac:dyDescent="0.35">
      <c r="A7" s="2">
        <v>12</v>
      </c>
      <c r="B7">
        <v>1</v>
      </c>
    </row>
    <row r="8" spans="1:2" x14ac:dyDescent="0.35">
      <c r="A8" s="2">
        <v>9</v>
      </c>
      <c r="B8">
        <v>2</v>
      </c>
    </row>
    <row r="9" spans="1:2" x14ac:dyDescent="0.35">
      <c r="A9" s="2">
        <v>8</v>
      </c>
      <c r="B9">
        <v>1</v>
      </c>
    </row>
    <row r="10" spans="1:2" x14ac:dyDescent="0.35">
      <c r="A10" s="2">
        <v>6</v>
      </c>
      <c r="B10">
        <v>5</v>
      </c>
    </row>
    <row r="11" spans="1:2" x14ac:dyDescent="0.35">
      <c r="A11" s="2">
        <v>5</v>
      </c>
      <c r="B11">
        <v>3</v>
      </c>
    </row>
    <row r="12" spans="1:2" x14ac:dyDescent="0.35">
      <c r="A12" s="2">
        <v>4</v>
      </c>
      <c r="B12">
        <v>6</v>
      </c>
    </row>
    <row r="13" spans="1:2" x14ac:dyDescent="0.35">
      <c r="A13" s="2">
        <v>3</v>
      </c>
      <c r="B13">
        <v>5</v>
      </c>
    </row>
    <row r="14" spans="1:2" x14ac:dyDescent="0.35">
      <c r="A14" s="2">
        <v>2</v>
      </c>
      <c r="B14">
        <v>7</v>
      </c>
    </row>
    <row r="15" spans="1:2" x14ac:dyDescent="0.35">
      <c r="A15" s="2">
        <v>1</v>
      </c>
      <c r="B15">
        <v>14</v>
      </c>
    </row>
    <row r="16" spans="1:2" x14ac:dyDescent="0.35">
      <c r="A16" s="2">
        <v>0</v>
      </c>
      <c r="B16">
        <v>23</v>
      </c>
    </row>
    <row r="17" spans="1:2" x14ac:dyDescent="0.35">
      <c r="A17" s="2" t="s">
        <v>158</v>
      </c>
      <c r="B17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28C5-DBE7-4EFC-B7B8-A92C19EC3AE1}">
  <sheetPr codeName="Hoja2"/>
  <dimension ref="A1:P71"/>
  <sheetViews>
    <sheetView tabSelected="1" workbookViewId="0">
      <pane ySplit="1" topLeftCell="A24" activePane="bottomLeft" state="frozen"/>
      <selection activeCell="F1" sqref="F1"/>
      <selection pane="bottomLeft" activeCell="B32" sqref="B32"/>
    </sheetView>
  </sheetViews>
  <sheetFormatPr baseColWidth="10" defaultRowHeight="14.5" x14ac:dyDescent="0.35"/>
  <cols>
    <col min="1" max="1" width="22.54296875" customWidth="1"/>
    <col min="2" max="2" width="38.54296875" bestFit="1" customWidth="1"/>
    <col min="3" max="3" width="35.26953125" bestFit="1" customWidth="1"/>
    <col min="4" max="4" width="7.54296875" customWidth="1"/>
    <col min="5" max="5" width="31.453125" customWidth="1"/>
    <col min="7" max="7" width="9.81640625" customWidth="1"/>
    <col min="8" max="8" width="14" bestFit="1" customWidth="1"/>
    <col min="9" max="9" width="71.81640625" bestFit="1" customWidth="1"/>
    <col min="10" max="10" width="20.81640625" bestFit="1" customWidth="1"/>
    <col min="11" max="11" width="16.36328125" bestFit="1" customWidth="1"/>
    <col min="12" max="12" width="12.08984375" bestFit="1" customWidth="1"/>
    <col min="13" max="13" width="17.81640625" bestFit="1" customWidth="1"/>
    <col min="14" max="14" width="14.453125" bestFit="1" customWidth="1"/>
    <col min="15" max="15" width="16.6328125" bestFit="1" customWidth="1"/>
    <col min="16" max="16" width="13.6328125" bestFit="1" customWidth="1"/>
  </cols>
  <sheetData>
    <row r="1" spans="1:16" x14ac:dyDescent="0.35">
      <c r="A1" s="3" t="s">
        <v>148</v>
      </c>
      <c r="B1" s="4" t="s">
        <v>139</v>
      </c>
      <c r="C1" s="4" t="s">
        <v>140</v>
      </c>
      <c r="D1" s="4" t="s">
        <v>142</v>
      </c>
      <c r="E1" s="4" t="s">
        <v>141</v>
      </c>
      <c r="F1" s="5" t="s">
        <v>171</v>
      </c>
      <c r="G1" s="4" t="s">
        <v>162</v>
      </c>
      <c r="H1" s="4" t="s">
        <v>197</v>
      </c>
      <c r="I1" s="4" t="s">
        <v>196</v>
      </c>
      <c r="J1" s="4" t="s">
        <v>164</v>
      </c>
      <c r="K1" s="4" t="s">
        <v>165</v>
      </c>
      <c r="L1" s="4" t="s">
        <v>166</v>
      </c>
      <c r="M1" s="4" t="s">
        <v>167</v>
      </c>
      <c r="N1" s="4" t="s">
        <v>168</v>
      </c>
      <c r="O1" s="4" t="s">
        <v>169</v>
      </c>
      <c r="P1" s="4" t="s">
        <v>170</v>
      </c>
    </row>
    <row r="2" spans="1:16" x14ac:dyDescent="0.35">
      <c r="A2" s="6" t="s">
        <v>154</v>
      </c>
      <c r="B2" s="7" t="s">
        <v>120</v>
      </c>
      <c r="C2" s="7" t="s">
        <v>119</v>
      </c>
      <c r="D2" s="7"/>
      <c r="E2" s="7" t="s">
        <v>192</v>
      </c>
      <c r="F2" s="8" t="str">
        <f t="shared" ref="F2:F15" si="0">IF(G2&lt;=2,"mantener",IF(G2&lt;=9,"revisar","optimizar"))</f>
        <v>mantener</v>
      </c>
      <c r="G2" s="7">
        <v>1</v>
      </c>
      <c r="H2" s="12" t="s">
        <v>198</v>
      </c>
      <c r="I2" t="s">
        <v>193</v>
      </c>
      <c r="J2" s="7">
        <v>0</v>
      </c>
      <c r="K2" s="7">
        <v>0</v>
      </c>
      <c r="L2" s="7">
        <v>0</v>
      </c>
      <c r="M2" s="7">
        <v>1</v>
      </c>
      <c r="N2" s="7">
        <v>0</v>
      </c>
      <c r="O2" s="7">
        <v>0</v>
      </c>
      <c r="P2" s="7">
        <v>0</v>
      </c>
    </row>
    <row r="3" spans="1:16" x14ac:dyDescent="0.35">
      <c r="A3" s="6" t="s">
        <v>143</v>
      </c>
      <c r="B3" s="7" t="s">
        <v>94</v>
      </c>
      <c r="C3" s="7" t="s">
        <v>23</v>
      </c>
      <c r="D3" s="7"/>
      <c r="E3" s="7" t="s">
        <v>59</v>
      </c>
      <c r="F3" s="8" t="str">
        <f t="shared" si="0"/>
        <v>revisar</v>
      </c>
      <c r="G3" s="7">
        <v>6</v>
      </c>
      <c r="H3" s="13"/>
      <c r="I3" t="s">
        <v>189</v>
      </c>
      <c r="J3" s="7">
        <v>3</v>
      </c>
      <c r="K3" s="7">
        <v>1</v>
      </c>
      <c r="L3" s="7">
        <v>0</v>
      </c>
      <c r="M3" s="7">
        <v>0</v>
      </c>
      <c r="N3" s="7">
        <v>0</v>
      </c>
      <c r="O3" s="7">
        <v>0</v>
      </c>
      <c r="P3" s="7">
        <v>2</v>
      </c>
    </row>
    <row r="4" spans="1:16" x14ac:dyDescent="0.35">
      <c r="A4" s="6" t="s">
        <v>143</v>
      </c>
      <c r="B4" s="7" t="s">
        <v>123</v>
      </c>
      <c r="C4" s="7" t="s">
        <v>121</v>
      </c>
      <c r="D4" s="7"/>
      <c r="E4" s="7" t="s">
        <v>122</v>
      </c>
      <c r="F4" s="8" t="str">
        <f t="shared" si="0"/>
        <v>revisar</v>
      </c>
      <c r="G4" s="7">
        <v>3</v>
      </c>
      <c r="H4" s="13"/>
      <c r="I4" t="s">
        <v>190</v>
      </c>
      <c r="J4" s="7">
        <v>1</v>
      </c>
      <c r="K4" s="7">
        <v>1</v>
      </c>
      <c r="L4" s="7">
        <v>1</v>
      </c>
      <c r="M4" s="7">
        <v>0</v>
      </c>
      <c r="N4" s="7">
        <v>0</v>
      </c>
      <c r="O4" s="7">
        <v>0</v>
      </c>
      <c r="P4" s="7">
        <v>0</v>
      </c>
    </row>
    <row r="5" spans="1:16" x14ac:dyDescent="0.35">
      <c r="A5" s="6" t="s">
        <v>143</v>
      </c>
      <c r="B5" s="7" t="s">
        <v>91</v>
      </c>
      <c r="C5" s="7" t="s">
        <v>30</v>
      </c>
      <c r="D5" s="7"/>
      <c r="E5" s="7" t="s">
        <v>66</v>
      </c>
      <c r="F5" s="8" t="str">
        <f t="shared" si="0"/>
        <v>revisar</v>
      </c>
      <c r="G5" s="7">
        <v>3</v>
      </c>
      <c r="H5" s="13"/>
      <c r="I5" t="s">
        <v>180</v>
      </c>
      <c r="J5" s="7">
        <v>1</v>
      </c>
      <c r="K5" s="7">
        <v>1</v>
      </c>
      <c r="L5" s="7">
        <v>0</v>
      </c>
      <c r="M5" s="7">
        <v>0</v>
      </c>
      <c r="N5" s="7">
        <v>1</v>
      </c>
      <c r="O5" s="7">
        <v>0</v>
      </c>
      <c r="P5" s="7">
        <v>0</v>
      </c>
    </row>
    <row r="6" spans="1:16" x14ac:dyDescent="0.35">
      <c r="A6" s="6" t="s">
        <v>143</v>
      </c>
      <c r="B6" s="7" t="s">
        <v>85</v>
      </c>
      <c r="C6" s="7" t="s">
        <v>29</v>
      </c>
      <c r="D6" s="7"/>
      <c r="E6" s="7" t="s">
        <v>65</v>
      </c>
      <c r="F6" s="8" t="str">
        <f t="shared" si="0"/>
        <v>mantener</v>
      </c>
      <c r="G6" s="7">
        <v>1</v>
      </c>
      <c r="H6" s="13"/>
      <c r="I6" t="s">
        <v>180</v>
      </c>
      <c r="J6" s="7">
        <v>0</v>
      </c>
      <c r="K6" s="7">
        <v>0</v>
      </c>
      <c r="L6" s="7">
        <v>1</v>
      </c>
      <c r="M6" s="7">
        <v>0</v>
      </c>
      <c r="N6" s="7">
        <v>0</v>
      </c>
      <c r="O6" s="7">
        <v>0</v>
      </c>
      <c r="P6" s="7">
        <v>0</v>
      </c>
    </row>
    <row r="7" spans="1:16" x14ac:dyDescent="0.35">
      <c r="A7" s="6" t="s">
        <v>143</v>
      </c>
      <c r="B7" s="7" t="s">
        <v>125</v>
      </c>
      <c r="C7" s="7" t="s">
        <v>124</v>
      </c>
      <c r="D7" s="7"/>
      <c r="E7" s="7" t="s">
        <v>161</v>
      </c>
      <c r="F7" s="8" t="str">
        <f t="shared" si="0"/>
        <v>mantener</v>
      </c>
      <c r="G7" s="7">
        <v>1</v>
      </c>
      <c r="H7" s="13"/>
      <c r="I7" t="s">
        <v>179</v>
      </c>
      <c r="J7" s="7">
        <v>0</v>
      </c>
      <c r="K7" s="7">
        <v>0</v>
      </c>
      <c r="L7" s="7">
        <v>1</v>
      </c>
      <c r="M7" s="7">
        <v>0</v>
      </c>
      <c r="N7" s="7">
        <v>0</v>
      </c>
      <c r="O7" s="7">
        <v>0</v>
      </c>
      <c r="P7" s="7">
        <v>0</v>
      </c>
    </row>
    <row r="8" spans="1:16" x14ac:dyDescent="0.35">
      <c r="A8" s="6" t="s">
        <v>143</v>
      </c>
      <c r="B8" s="7" t="s">
        <v>108</v>
      </c>
      <c r="C8" s="7" t="s">
        <v>155</v>
      </c>
      <c r="D8" s="7"/>
      <c r="E8" s="7" t="s">
        <v>155</v>
      </c>
      <c r="F8" s="8" t="str">
        <f t="shared" si="0"/>
        <v>mantener</v>
      </c>
      <c r="G8" s="7">
        <v>0</v>
      </c>
      <c r="H8" s="13"/>
      <c r="I8" t="s">
        <v>179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x14ac:dyDescent="0.35">
      <c r="A9" s="6" t="s">
        <v>143</v>
      </c>
      <c r="B9" s="7" t="s">
        <v>85</v>
      </c>
      <c r="C9" s="7" t="s">
        <v>0</v>
      </c>
      <c r="D9" s="7"/>
      <c r="E9" s="7" t="s">
        <v>159</v>
      </c>
      <c r="F9" s="8" t="str">
        <f t="shared" si="0"/>
        <v>mantener</v>
      </c>
      <c r="G9" s="7">
        <v>0</v>
      </c>
      <c r="H9" s="13"/>
      <c r="I9" t="s">
        <v>191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</row>
    <row r="10" spans="1:16" x14ac:dyDescent="0.35">
      <c r="A10" s="6" t="s">
        <v>143</v>
      </c>
      <c r="B10" s="7" t="s">
        <v>85</v>
      </c>
      <c r="C10" s="7" t="s">
        <v>1</v>
      </c>
      <c r="D10" s="7"/>
      <c r="E10" s="7" t="s">
        <v>160</v>
      </c>
      <c r="F10" s="8" t="str">
        <f t="shared" si="0"/>
        <v>mantener</v>
      </c>
      <c r="G10" s="7">
        <v>0</v>
      </c>
      <c r="H10" s="13"/>
      <c r="I10" t="s">
        <v>191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35">
      <c r="A11" s="6" t="s">
        <v>143</v>
      </c>
      <c r="B11" s="7" t="s">
        <v>156</v>
      </c>
      <c r="C11" s="7" t="s">
        <v>155</v>
      </c>
      <c r="D11" s="7"/>
      <c r="E11" s="7" t="s">
        <v>155</v>
      </c>
      <c r="F11" s="8" t="str">
        <f t="shared" si="0"/>
        <v>mantener</v>
      </c>
      <c r="G11" s="7">
        <v>0</v>
      </c>
      <c r="H11" s="13"/>
      <c r="I11" t="s">
        <v>179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</row>
    <row r="12" spans="1:16" x14ac:dyDescent="0.35">
      <c r="A12" s="6" t="s">
        <v>143</v>
      </c>
      <c r="B12" s="7" t="s">
        <v>107</v>
      </c>
      <c r="C12" s="7" t="s">
        <v>155</v>
      </c>
      <c r="D12" s="7"/>
      <c r="E12" s="7" t="s">
        <v>155</v>
      </c>
      <c r="F12" s="8" t="str">
        <f t="shared" si="0"/>
        <v>mantener</v>
      </c>
      <c r="G12" s="7">
        <v>0</v>
      </c>
      <c r="H12" s="13"/>
      <c r="I12" t="s">
        <v>179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35">
      <c r="A13" s="6" t="s">
        <v>144</v>
      </c>
      <c r="B13" s="7" t="s">
        <v>81</v>
      </c>
      <c r="C13" s="7" t="s">
        <v>40</v>
      </c>
      <c r="D13" s="7">
        <v>3</v>
      </c>
      <c r="E13" s="7" t="s">
        <v>77</v>
      </c>
      <c r="F13" s="8" t="str">
        <f t="shared" si="0"/>
        <v>optimizar</v>
      </c>
      <c r="G13" s="7">
        <v>18</v>
      </c>
      <c r="H13" s="13"/>
      <c r="I13" t="s">
        <v>175</v>
      </c>
      <c r="J13" s="7">
        <v>3</v>
      </c>
      <c r="K13" s="7">
        <v>6</v>
      </c>
      <c r="L13" s="7">
        <v>3</v>
      </c>
      <c r="M13" s="7">
        <v>0</v>
      </c>
      <c r="N13" s="7">
        <v>2</v>
      </c>
      <c r="O13" s="7">
        <v>0</v>
      </c>
      <c r="P13" s="7">
        <v>4</v>
      </c>
    </row>
    <row r="14" spans="1:16" x14ac:dyDescent="0.35">
      <c r="A14" s="6" t="s">
        <v>144</v>
      </c>
      <c r="B14" s="7" t="s">
        <v>34</v>
      </c>
      <c r="C14" s="7" t="s">
        <v>34</v>
      </c>
      <c r="D14" s="7"/>
      <c r="E14" s="7" t="s">
        <v>71</v>
      </c>
      <c r="F14" s="8" t="str">
        <f t="shared" si="0"/>
        <v>optimizar</v>
      </c>
      <c r="G14" s="7">
        <v>13</v>
      </c>
      <c r="H14" s="13"/>
      <c r="I14" t="s">
        <v>176</v>
      </c>
      <c r="J14" s="7">
        <v>5</v>
      </c>
      <c r="K14" s="7">
        <v>3</v>
      </c>
      <c r="L14" s="7">
        <v>1</v>
      </c>
      <c r="M14" s="7">
        <v>0</v>
      </c>
      <c r="N14" s="7">
        <v>2</v>
      </c>
      <c r="O14" s="7">
        <v>0</v>
      </c>
      <c r="P14" s="7">
        <v>2</v>
      </c>
    </row>
    <row r="15" spans="1:16" x14ac:dyDescent="0.35">
      <c r="A15" s="6" t="s">
        <v>144</v>
      </c>
      <c r="B15" s="7" t="s">
        <v>104</v>
      </c>
      <c r="C15" s="7" t="s">
        <v>26</v>
      </c>
      <c r="D15" s="7"/>
      <c r="E15" s="7" t="s">
        <v>62</v>
      </c>
      <c r="F15" s="8" t="str">
        <f t="shared" si="0"/>
        <v>revisar</v>
      </c>
      <c r="G15" s="7">
        <v>6</v>
      </c>
      <c r="H15" s="13"/>
      <c r="I15" t="s">
        <v>176</v>
      </c>
      <c r="J15" s="7">
        <v>2</v>
      </c>
      <c r="K15" s="7">
        <v>2</v>
      </c>
      <c r="L15" s="7">
        <v>0</v>
      </c>
      <c r="M15" s="7">
        <v>0</v>
      </c>
      <c r="N15" s="7">
        <v>0</v>
      </c>
      <c r="O15" s="7">
        <v>0</v>
      </c>
      <c r="P15" s="7">
        <v>2</v>
      </c>
    </row>
    <row r="16" spans="1:16" x14ac:dyDescent="0.35">
      <c r="A16" s="6" t="s">
        <v>144</v>
      </c>
      <c r="B16" s="7" t="s">
        <v>81</v>
      </c>
      <c r="C16" s="7" t="s">
        <v>39</v>
      </c>
      <c r="D16" s="7">
        <v>4</v>
      </c>
      <c r="E16" s="7" t="s">
        <v>76</v>
      </c>
      <c r="F16" s="8" t="s">
        <v>174</v>
      </c>
      <c r="G16" s="7">
        <v>6</v>
      </c>
      <c r="H16" s="13"/>
      <c r="I16" t="s">
        <v>183</v>
      </c>
      <c r="J16" s="7">
        <v>2</v>
      </c>
      <c r="K16" s="7">
        <v>2</v>
      </c>
      <c r="L16" s="7">
        <v>1</v>
      </c>
      <c r="M16" s="7">
        <v>0</v>
      </c>
      <c r="N16" s="7">
        <v>0</v>
      </c>
      <c r="O16" s="7">
        <v>0</v>
      </c>
      <c r="P16" s="7">
        <v>1</v>
      </c>
    </row>
    <row r="17" spans="1:16" x14ac:dyDescent="0.35">
      <c r="A17" s="6" t="s">
        <v>144</v>
      </c>
      <c r="B17" s="7" t="s">
        <v>104</v>
      </c>
      <c r="C17" s="7" t="s">
        <v>14</v>
      </c>
      <c r="D17" s="7"/>
      <c r="E17" s="7" t="s">
        <v>52</v>
      </c>
      <c r="F17" s="8" t="str">
        <f t="shared" ref="F17:F63" si="1">IF(G17&lt;=2,"mantener",IF(G17&lt;=9,"revisar","optimizar"))</f>
        <v>revisar</v>
      </c>
      <c r="G17" s="7">
        <v>3</v>
      </c>
      <c r="H17" s="13"/>
      <c r="I17" t="s">
        <v>176</v>
      </c>
      <c r="J17" s="7">
        <v>1</v>
      </c>
      <c r="K17" s="7">
        <v>0</v>
      </c>
      <c r="L17" s="7">
        <v>0</v>
      </c>
      <c r="M17" s="7">
        <v>0</v>
      </c>
      <c r="N17" s="7">
        <v>1</v>
      </c>
      <c r="O17" s="7">
        <v>0</v>
      </c>
      <c r="P17" s="7">
        <v>1</v>
      </c>
    </row>
    <row r="18" spans="1:16" x14ac:dyDescent="0.35">
      <c r="A18" s="6" t="s">
        <v>144</v>
      </c>
      <c r="B18" s="7" t="s">
        <v>81</v>
      </c>
      <c r="C18" s="7" t="s">
        <v>117</v>
      </c>
      <c r="D18" s="7"/>
      <c r="E18" s="7" t="s">
        <v>118</v>
      </c>
      <c r="F18" s="8" t="str">
        <f t="shared" si="1"/>
        <v>mantener</v>
      </c>
      <c r="G18" s="7">
        <v>1</v>
      </c>
      <c r="H18" s="13"/>
      <c r="I18" t="s">
        <v>195</v>
      </c>
      <c r="J18" s="7">
        <v>0</v>
      </c>
      <c r="K18" s="7">
        <v>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35">
      <c r="A19" s="6" t="s">
        <v>144</v>
      </c>
      <c r="B19" s="7" t="s">
        <v>104</v>
      </c>
      <c r="C19" s="7" t="s">
        <v>27</v>
      </c>
      <c r="D19" s="7">
        <v>6</v>
      </c>
      <c r="E19" s="7" t="s">
        <v>63</v>
      </c>
      <c r="F19" s="8" t="str">
        <f t="shared" si="1"/>
        <v>mantener</v>
      </c>
      <c r="G19" s="7">
        <v>1</v>
      </c>
      <c r="H19" s="13"/>
      <c r="I19" t="s">
        <v>176</v>
      </c>
      <c r="J19" s="7">
        <v>0</v>
      </c>
      <c r="K19" s="7">
        <v>0</v>
      </c>
      <c r="L19" s="7">
        <v>1</v>
      </c>
      <c r="M19" s="7">
        <v>0</v>
      </c>
      <c r="N19" s="7">
        <v>0</v>
      </c>
      <c r="O19" s="7">
        <v>0</v>
      </c>
      <c r="P19" s="7">
        <v>0</v>
      </c>
    </row>
    <row r="20" spans="1:16" x14ac:dyDescent="0.35">
      <c r="A20" s="6" t="s">
        <v>144</v>
      </c>
      <c r="B20" s="7" t="s">
        <v>114</v>
      </c>
      <c r="C20" s="7" t="s">
        <v>155</v>
      </c>
      <c r="D20" s="7"/>
      <c r="E20" s="7" t="s">
        <v>155</v>
      </c>
      <c r="F20" s="8" t="str">
        <f t="shared" si="1"/>
        <v>mantener</v>
      </c>
      <c r="G20" s="7">
        <v>0</v>
      </c>
      <c r="H20" s="13"/>
      <c r="I20" t="s">
        <v>179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35">
      <c r="A21" s="6" t="s">
        <v>144</v>
      </c>
      <c r="B21" s="7" t="s">
        <v>81</v>
      </c>
      <c r="C21" s="7" t="s">
        <v>126</v>
      </c>
      <c r="D21" s="7"/>
      <c r="E21" s="7" t="s">
        <v>127</v>
      </c>
      <c r="F21" s="8" t="str">
        <f t="shared" si="1"/>
        <v>mantener</v>
      </c>
      <c r="G21" s="7">
        <v>0</v>
      </c>
      <c r="H21" s="13"/>
      <c r="I21" t="s">
        <v>194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</row>
    <row r="22" spans="1:16" x14ac:dyDescent="0.35">
      <c r="A22" s="6" t="s">
        <v>144</v>
      </c>
      <c r="B22" s="7" t="s">
        <v>81</v>
      </c>
      <c r="C22" s="7" t="s">
        <v>128</v>
      </c>
      <c r="D22" s="7"/>
      <c r="E22" s="7" t="s">
        <v>129</v>
      </c>
      <c r="F22" s="8" t="str">
        <f t="shared" si="1"/>
        <v>mantener</v>
      </c>
      <c r="G22" s="7">
        <v>0</v>
      </c>
      <c r="H22" s="13"/>
      <c r="I22" t="s">
        <v>183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</row>
    <row r="23" spans="1:16" x14ac:dyDescent="0.35">
      <c r="A23" s="6" t="s">
        <v>144</v>
      </c>
      <c r="B23" s="7" t="s">
        <v>113</v>
      </c>
      <c r="C23" s="7" t="s">
        <v>155</v>
      </c>
      <c r="D23" s="7"/>
      <c r="E23" s="7" t="s">
        <v>155</v>
      </c>
      <c r="F23" s="8" t="str">
        <f t="shared" si="1"/>
        <v>mantener</v>
      </c>
      <c r="G23" s="7">
        <v>0</v>
      </c>
      <c r="H23" s="13"/>
      <c r="I23" t="s">
        <v>179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</row>
    <row r="24" spans="1:16" x14ac:dyDescent="0.35">
      <c r="A24" s="6" t="s">
        <v>145</v>
      </c>
      <c r="B24" s="7" t="s">
        <v>96</v>
      </c>
      <c r="C24" s="7" t="s">
        <v>24</v>
      </c>
      <c r="D24" s="7">
        <v>7</v>
      </c>
      <c r="E24" s="7" t="s">
        <v>60</v>
      </c>
      <c r="F24" s="8" t="str">
        <f t="shared" si="1"/>
        <v>revisar</v>
      </c>
      <c r="G24" s="7">
        <v>4</v>
      </c>
      <c r="H24" s="13"/>
      <c r="I24" t="s">
        <v>178</v>
      </c>
      <c r="J24" s="7">
        <v>1</v>
      </c>
      <c r="K24" s="7">
        <v>0</v>
      </c>
      <c r="L24" s="7">
        <v>2</v>
      </c>
      <c r="M24" s="7">
        <v>0</v>
      </c>
      <c r="N24" s="7">
        <v>1</v>
      </c>
      <c r="O24" s="7">
        <v>0</v>
      </c>
      <c r="P24" s="7">
        <v>0</v>
      </c>
    </row>
    <row r="25" spans="1:16" x14ac:dyDescent="0.35">
      <c r="A25" s="6" t="s">
        <v>145</v>
      </c>
      <c r="B25" s="7" t="s">
        <v>96</v>
      </c>
      <c r="C25" s="7" t="s">
        <v>21</v>
      </c>
      <c r="D25" s="7">
        <v>8</v>
      </c>
      <c r="E25" s="7" t="s">
        <v>57</v>
      </c>
      <c r="F25" s="8" t="str">
        <f t="shared" si="1"/>
        <v>revisar</v>
      </c>
      <c r="G25" s="7">
        <v>4</v>
      </c>
      <c r="H25" s="13"/>
      <c r="I25" t="s">
        <v>178</v>
      </c>
      <c r="J25" s="7">
        <v>0</v>
      </c>
      <c r="K25" s="7">
        <v>1</v>
      </c>
      <c r="L25" s="7">
        <v>2</v>
      </c>
      <c r="M25" s="7">
        <v>0</v>
      </c>
      <c r="N25" s="7">
        <v>1</v>
      </c>
      <c r="O25" s="7">
        <v>0</v>
      </c>
      <c r="P25" s="7">
        <v>0</v>
      </c>
    </row>
    <row r="26" spans="1:16" x14ac:dyDescent="0.35">
      <c r="A26" s="6" t="s">
        <v>145</v>
      </c>
      <c r="B26" s="7" t="s">
        <v>84</v>
      </c>
      <c r="C26" s="7" t="s">
        <v>22</v>
      </c>
      <c r="D26" s="7"/>
      <c r="E26" s="7" t="s">
        <v>58</v>
      </c>
      <c r="F26" s="8" t="str">
        <f t="shared" si="1"/>
        <v>mantener</v>
      </c>
      <c r="G26" s="7">
        <v>2</v>
      </c>
      <c r="H26" s="13"/>
      <c r="I26" t="s">
        <v>178</v>
      </c>
      <c r="J26" s="7">
        <v>0</v>
      </c>
      <c r="K26" s="7">
        <v>1</v>
      </c>
      <c r="L26" s="7">
        <v>1</v>
      </c>
      <c r="M26" s="7">
        <v>0</v>
      </c>
      <c r="N26" s="7">
        <v>0</v>
      </c>
      <c r="O26" s="7">
        <v>0</v>
      </c>
      <c r="P26" s="7">
        <v>0</v>
      </c>
    </row>
    <row r="27" spans="1:16" x14ac:dyDescent="0.35">
      <c r="A27" s="6" t="s">
        <v>145</v>
      </c>
      <c r="B27" s="7" t="s">
        <v>4</v>
      </c>
      <c r="C27" s="7" t="s">
        <v>4</v>
      </c>
      <c r="D27" s="7"/>
      <c r="E27" s="7" t="s">
        <v>46</v>
      </c>
      <c r="F27" s="8" t="str">
        <f t="shared" si="1"/>
        <v>mantener</v>
      </c>
      <c r="G27" s="7">
        <v>1</v>
      </c>
      <c r="H27" s="13"/>
      <c r="I27" t="s">
        <v>179</v>
      </c>
      <c r="J27" s="7">
        <v>0</v>
      </c>
      <c r="K27" s="7">
        <v>0</v>
      </c>
      <c r="L27" s="7">
        <v>1</v>
      </c>
      <c r="M27" s="7">
        <v>0</v>
      </c>
      <c r="N27" s="7">
        <v>0</v>
      </c>
      <c r="O27" s="7">
        <v>0</v>
      </c>
      <c r="P27" s="7">
        <v>0</v>
      </c>
    </row>
    <row r="28" spans="1:16" x14ac:dyDescent="0.35">
      <c r="A28" s="6" t="s">
        <v>145</v>
      </c>
      <c r="B28" s="7" t="s">
        <v>83</v>
      </c>
      <c r="C28" s="7" t="s">
        <v>5</v>
      </c>
      <c r="D28" s="7"/>
      <c r="E28" s="7" t="s">
        <v>6</v>
      </c>
      <c r="F28" s="8" t="str">
        <f t="shared" si="1"/>
        <v>mantener</v>
      </c>
      <c r="G28" s="7">
        <v>0</v>
      </c>
      <c r="H28" s="13"/>
      <c r="I28" t="s">
        <v>179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</row>
    <row r="29" spans="1:16" x14ac:dyDescent="0.35">
      <c r="A29" s="6" t="s">
        <v>145</v>
      </c>
      <c r="B29" s="7" t="s">
        <v>109</v>
      </c>
      <c r="C29" s="7" t="s">
        <v>155</v>
      </c>
      <c r="D29" s="7"/>
      <c r="E29" s="7" t="s">
        <v>155</v>
      </c>
      <c r="F29" s="8" t="str">
        <f t="shared" si="1"/>
        <v>mantener</v>
      </c>
      <c r="G29" s="7">
        <v>0</v>
      </c>
      <c r="H29" s="13"/>
      <c r="I29" t="s">
        <v>179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</row>
    <row r="30" spans="1:16" x14ac:dyDescent="0.35">
      <c r="A30" s="6" t="s">
        <v>145</v>
      </c>
      <c r="B30" s="7" t="s">
        <v>83</v>
      </c>
      <c r="C30" s="7" t="s">
        <v>7</v>
      </c>
      <c r="D30" s="7"/>
      <c r="E30" s="7" t="s">
        <v>8</v>
      </c>
      <c r="F30" s="8" t="str">
        <f t="shared" si="1"/>
        <v>mantener</v>
      </c>
      <c r="G30" s="7">
        <v>0</v>
      </c>
      <c r="H30" s="13"/>
      <c r="I30" t="s">
        <v>179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x14ac:dyDescent="0.35">
      <c r="A31" s="6" t="s">
        <v>146</v>
      </c>
      <c r="B31" s="7" t="s">
        <v>89</v>
      </c>
      <c r="C31" s="7" t="s">
        <v>10</v>
      </c>
      <c r="D31" s="7"/>
      <c r="E31" s="7" t="s">
        <v>48</v>
      </c>
      <c r="F31" s="8" t="str">
        <f t="shared" si="1"/>
        <v>mantener</v>
      </c>
      <c r="G31" s="7">
        <v>2</v>
      </c>
      <c r="H31" s="13"/>
      <c r="I31" t="s">
        <v>181</v>
      </c>
      <c r="J31" s="7">
        <v>1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</row>
    <row r="32" spans="1:16" x14ac:dyDescent="0.35">
      <c r="A32" s="6" t="s">
        <v>146</v>
      </c>
      <c r="B32" s="7" t="s">
        <v>132</v>
      </c>
      <c r="C32" s="7" t="s">
        <v>135</v>
      </c>
      <c r="D32" s="7"/>
      <c r="E32" s="7" t="s">
        <v>136</v>
      </c>
      <c r="F32" s="8" t="str">
        <f t="shared" si="1"/>
        <v>mantener</v>
      </c>
      <c r="G32" s="7">
        <v>2</v>
      </c>
      <c r="H32" s="14"/>
      <c r="I32" t="s">
        <v>185</v>
      </c>
      <c r="J32" s="7">
        <v>1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1</v>
      </c>
    </row>
    <row r="33" spans="1:16" x14ac:dyDescent="0.35">
      <c r="A33" s="6" t="s">
        <v>146</v>
      </c>
      <c r="B33" s="7" t="s">
        <v>86</v>
      </c>
      <c r="C33" s="7" t="s">
        <v>44</v>
      </c>
      <c r="D33" s="7">
        <v>2</v>
      </c>
      <c r="E33" s="7" t="s">
        <v>45</v>
      </c>
      <c r="F33" s="8" t="str">
        <f t="shared" si="1"/>
        <v>mantener</v>
      </c>
      <c r="G33" s="7">
        <v>1</v>
      </c>
      <c r="H33" s="14"/>
      <c r="I33" t="s">
        <v>181</v>
      </c>
      <c r="J33" s="7">
        <v>0</v>
      </c>
      <c r="K33" s="7">
        <v>0</v>
      </c>
      <c r="L33" s="7">
        <v>0</v>
      </c>
      <c r="M33" s="7">
        <v>0</v>
      </c>
      <c r="N33" s="7">
        <v>1</v>
      </c>
      <c r="O33" s="7">
        <v>0</v>
      </c>
      <c r="P33" s="7">
        <v>0</v>
      </c>
    </row>
    <row r="34" spans="1:16" x14ac:dyDescent="0.35">
      <c r="A34" s="6" t="s">
        <v>146</v>
      </c>
      <c r="B34" s="7" t="s">
        <v>137</v>
      </c>
      <c r="C34" s="7" t="s">
        <v>44</v>
      </c>
      <c r="D34" s="7">
        <v>2</v>
      </c>
      <c r="E34" s="7" t="s">
        <v>45</v>
      </c>
      <c r="F34" s="8" t="str">
        <f t="shared" si="1"/>
        <v>mantener</v>
      </c>
      <c r="G34" s="7">
        <v>1</v>
      </c>
      <c r="H34" s="14"/>
      <c r="I34" t="s">
        <v>181</v>
      </c>
      <c r="J34" s="7">
        <v>0</v>
      </c>
      <c r="K34" s="7">
        <v>0</v>
      </c>
      <c r="L34" s="7">
        <v>0</v>
      </c>
      <c r="M34" s="7">
        <v>0</v>
      </c>
      <c r="N34" s="7">
        <v>1</v>
      </c>
      <c r="O34" s="7">
        <v>0</v>
      </c>
      <c r="P34" s="7">
        <v>0</v>
      </c>
    </row>
    <row r="35" spans="1:16" x14ac:dyDescent="0.35">
      <c r="A35" s="6" t="s">
        <v>146</v>
      </c>
      <c r="B35" s="7" t="s">
        <v>132</v>
      </c>
      <c r="C35" s="7" t="s">
        <v>130</v>
      </c>
      <c r="D35" s="7"/>
      <c r="E35" s="7" t="s">
        <v>131</v>
      </c>
      <c r="F35" s="8" t="str">
        <f t="shared" si="1"/>
        <v>mantener</v>
      </c>
      <c r="G35" s="7">
        <v>0</v>
      </c>
      <c r="H35" s="14"/>
      <c r="I35" t="s">
        <v>188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</row>
    <row r="36" spans="1:16" x14ac:dyDescent="0.35">
      <c r="A36" s="6" t="s">
        <v>146</v>
      </c>
      <c r="B36" s="7" t="s">
        <v>110</v>
      </c>
      <c r="C36" s="7" t="s">
        <v>155</v>
      </c>
      <c r="D36" s="7"/>
      <c r="E36" s="7" t="s">
        <v>155</v>
      </c>
      <c r="F36" s="8" t="str">
        <f t="shared" si="1"/>
        <v>mantener</v>
      </c>
      <c r="G36" s="7">
        <v>0</v>
      </c>
      <c r="H36" s="14"/>
      <c r="I36" t="s">
        <v>179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x14ac:dyDescent="0.35">
      <c r="A37" s="6" t="s">
        <v>146</v>
      </c>
      <c r="B37" s="7" t="s">
        <v>89</v>
      </c>
      <c r="C37" s="7" t="s">
        <v>133</v>
      </c>
      <c r="D37" s="7">
        <v>1</v>
      </c>
      <c r="E37" s="7" t="s">
        <v>134</v>
      </c>
      <c r="F37" s="8" t="str">
        <f t="shared" si="1"/>
        <v>mantener</v>
      </c>
      <c r="G37" s="7">
        <v>0</v>
      </c>
      <c r="H37" s="14"/>
      <c r="I37" t="s">
        <v>184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</row>
    <row r="38" spans="1:16" x14ac:dyDescent="0.35">
      <c r="A38" s="6" t="s">
        <v>146</v>
      </c>
      <c r="B38" s="7" t="s">
        <v>132</v>
      </c>
      <c r="C38" s="7" t="s">
        <v>133</v>
      </c>
      <c r="D38" s="7">
        <v>1</v>
      </c>
      <c r="E38" s="7" t="s">
        <v>134</v>
      </c>
      <c r="F38" s="8" t="str">
        <f t="shared" si="1"/>
        <v>mantener</v>
      </c>
      <c r="G38" s="7">
        <v>0</v>
      </c>
      <c r="H38" s="14"/>
      <c r="I38" t="s">
        <v>184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x14ac:dyDescent="0.35">
      <c r="A39" s="6" t="s">
        <v>147</v>
      </c>
      <c r="B39" s="7" t="s">
        <v>100</v>
      </c>
      <c r="C39" s="7" t="s">
        <v>32</v>
      </c>
      <c r="D39" s="7"/>
      <c r="E39" s="7" t="s">
        <v>69</v>
      </c>
      <c r="F39" s="8" t="str">
        <f t="shared" si="1"/>
        <v>optimizar</v>
      </c>
      <c r="G39" s="7">
        <v>21</v>
      </c>
      <c r="H39" s="14"/>
      <c r="I39" t="s">
        <v>180</v>
      </c>
      <c r="J39" s="7">
        <v>3</v>
      </c>
      <c r="K39" s="7">
        <v>4</v>
      </c>
      <c r="L39" s="7">
        <v>8</v>
      </c>
      <c r="M39" s="7">
        <v>0</v>
      </c>
      <c r="N39" s="7">
        <v>2</v>
      </c>
      <c r="O39" s="7">
        <v>0</v>
      </c>
      <c r="P39" s="7">
        <v>4</v>
      </c>
    </row>
    <row r="40" spans="1:16" x14ac:dyDescent="0.35">
      <c r="A40" s="6" t="s">
        <v>147</v>
      </c>
      <c r="B40" s="7" t="s">
        <v>92</v>
      </c>
      <c r="C40" s="7" t="s">
        <v>28</v>
      </c>
      <c r="D40" s="7"/>
      <c r="E40" s="7" t="s">
        <v>64</v>
      </c>
      <c r="F40" s="8" t="str">
        <f t="shared" si="1"/>
        <v>revisar</v>
      </c>
      <c r="G40" s="7">
        <v>9</v>
      </c>
      <c r="H40" s="14"/>
      <c r="I40" t="s">
        <v>177</v>
      </c>
      <c r="J40" s="7">
        <v>3</v>
      </c>
      <c r="K40" s="7">
        <v>3</v>
      </c>
      <c r="L40" s="7">
        <v>1</v>
      </c>
      <c r="M40" s="7">
        <v>0</v>
      </c>
      <c r="N40" s="7">
        <v>2</v>
      </c>
      <c r="O40" s="7">
        <v>0</v>
      </c>
      <c r="P40" s="7">
        <v>0</v>
      </c>
    </row>
    <row r="41" spans="1:16" x14ac:dyDescent="0.35">
      <c r="A41" s="6" t="s">
        <v>147</v>
      </c>
      <c r="B41" s="7" t="s">
        <v>100</v>
      </c>
      <c r="C41" s="7" t="s">
        <v>33</v>
      </c>
      <c r="D41" s="7"/>
      <c r="E41" s="7" t="s">
        <v>70</v>
      </c>
      <c r="F41" s="8" t="str">
        <f t="shared" si="1"/>
        <v>revisar</v>
      </c>
      <c r="G41" s="7">
        <v>9</v>
      </c>
      <c r="H41" s="14"/>
      <c r="I41" t="s">
        <v>180</v>
      </c>
      <c r="J41" s="7">
        <v>1</v>
      </c>
      <c r="K41" s="7">
        <v>2</v>
      </c>
      <c r="L41" s="7">
        <v>3</v>
      </c>
      <c r="M41" s="7">
        <v>0</v>
      </c>
      <c r="N41" s="7">
        <v>1</v>
      </c>
      <c r="O41" s="7">
        <v>0</v>
      </c>
      <c r="P41" s="7">
        <v>2</v>
      </c>
    </row>
    <row r="42" spans="1:16" x14ac:dyDescent="0.35">
      <c r="A42" s="6" t="s">
        <v>147</v>
      </c>
      <c r="B42" s="7" t="s">
        <v>102</v>
      </c>
      <c r="C42" s="7" t="s">
        <v>37</v>
      </c>
      <c r="D42" s="7"/>
      <c r="E42" s="7" t="s">
        <v>74</v>
      </c>
      <c r="F42" s="8" t="str">
        <f t="shared" si="1"/>
        <v>revisar</v>
      </c>
      <c r="G42" s="7">
        <v>8</v>
      </c>
      <c r="H42" s="14"/>
      <c r="I42" t="s">
        <v>176</v>
      </c>
      <c r="J42" s="7">
        <v>3</v>
      </c>
      <c r="K42" s="7">
        <v>0</v>
      </c>
      <c r="L42" s="7">
        <v>1</v>
      </c>
      <c r="M42" s="7">
        <v>0</v>
      </c>
      <c r="N42" s="7">
        <v>2</v>
      </c>
      <c r="O42" s="7">
        <v>0</v>
      </c>
      <c r="P42" s="7">
        <v>2</v>
      </c>
    </row>
    <row r="43" spans="1:16" x14ac:dyDescent="0.35">
      <c r="A43" s="6" t="s">
        <v>147</v>
      </c>
      <c r="B43" s="7" t="s">
        <v>90</v>
      </c>
      <c r="C43" s="7" t="s">
        <v>43</v>
      </c>
      <c r="D43" s="7"/>
      <c r="E43" s="7" t="s">
        <v>80</v>
      </c>
      <c r="F43" s="8" t="str">
        <f t="shared" si="1"/>
        <v>revisar</v>
      </c>
      <c r="G43" s="7">
        <v>6</v>
      </c>
      <c r="H43" s="14"/>
      <c r="I43" t="s">
        <v>181</v>
      </c>
      <c r="J43" s="7">
        <v>1</v>
      </c>
      <c r="K43" s="7">
        <v>0</v>
      </c>
      <c r="L43" s="7">
        <v>3</v>
      </c>
      <c r="M43" s="7">
        <v>0</v>
      </c>
      <c r="N43" s="7">
        <v>2</v>
      </c>
      <c r="O43" s="7">
        <v>0</v>
      </c>
      <c r="P43" s="7">
        <v>0</v>
      </c>
    </row>
    <row r="44" spans="1:16" x14ac:dyDescent="0.35">
      <c r="A44" s="6" t="s">
        <v>147</v>
      </c>
      <c r="B44" s="7" t="s">
        <v>92</v>
      </c>
      <c r="C44" s="7" t="s">
        <v>31</v>
      </c>
      <c r="D44" s="7"/>
      <c r="E44" s="7" t="s">
        <v>68</v>
      </c>
      <c r="F44" s="8" t="str">
        <f t="shared" si="1"/>
        <v>revisar</v>
      </c>
      <c r="G44" s="7">
        <v>5</v>
      </c>
      <c r="H44" s="14"/>
      <c r="I44" t="s">
        <v>176</v>
      </c>
      <c r="J44" s="7">
        <v>2</v>
      </c>
      <c r="K44" s="7">
        <v>2</v>
      </c>
      <c r="L44" s="7">
        <v>0</v>
      </c>
      <c r="M44" s="7">
        <v>0</v>
      </c>
      <c r="N44" s="7">
        <v>1</v>
      </c>
      <c r="O44" s="7">
        <v>0</v>
      </c>
      <c r="P44" s="7">
        <v>0</v>
      </c>
    </row>
    <row r="45" spans="1:16" x14ac:dyDescent="0.35">
      <c r="A45" s="6" t="s">
        <v>147</v>
      </c>
      <c r="B45" s="7" t="s">
        <v>101</v>
      </c>
      <c r="C45" s="7" t="s">
        <v>17</v>
      </c>
      <c r="D45" s="7"/>
      <c r="E45" s="7" t="s">
        <v>55</v>
      </c>
      <c r="F45" s="8" t="str">
        <f t="shared" si="1"/>
        <v>revisar</v>
      </c>
      <c r="G45" s="7">
        <v>5</v>
      </c>
      <c r="H45" s="14"/>
      <c r="I45" t="s">
        <v>176</v>
      </c>
      <c r="J45" s="7">
        <v>1</v>
      </c>
      <c r="K45" s="7">
        <v>1</v>
      </c>
      <c r="L45" s="7">
        <v>0</v>
      </c>
      <c r="M45" s="7">
        <v>0</v>
      </c>
      <c r="N45" s="7">
        <v>2</v>
      </c>
      <c r="O45" s="7">
        <v>1</v>
      </c>
      <c r="P45" s="7">
        <v>0</v>
      </c>
    </row>
    <row r="46" spans="1:16" x14ac:dyDescent="0.35">
      <c r="A46" s="6" t="s">
        <v>147</v>
      </c>
      <c r="B46" s="7" t="s">
        <v>88</v>
      </c>
      <c r="C46" s="7" t="s">
        <v>13</v>
      </c>
      <c r="D46" s="7">
        <v>5</v>
      </c>
      <c r="E46" s="7" t="s">
        <v>51</v>
      </c>
      <c r="F46" s="8" t="str">
        <f t="shared" si="1"/>
        <v>revisar</v>
      </c>
      <c r="G46" s="7">
        <v>4</v>
      </c>
      <c r="H46" s="14"/>
      <c r="I46" t="s">
        <v>180</v>
      </c>
      <c r="J46" s="7">
        <v>1</v>
      </c>
      <c r="K46" s="7">
        <v>1</v>
      </c>
      <c r="L46" s="7">
        <v>0</v>
      </c>
      <c r="M46" s="7">
        <v>0</v>
      </c>
      <c r="N46" s="7">
        <v>1</v>
      </c>
      <c r="O46" s="7">
        <v>0</v>
      </c>
      <c r="P46" s="7">
        <v>1</v>
      </c>
    </row>
    <row r="47" spans="1:16" x14ac:dyDescent="0.35">
      <c r="A47" s="6" t="s">
        <v>147</v>
      </c>
      <c r="B47" s="7" t="s">
        <v>92</v>
      </c>
      <c r="C47" s="7" t="s">
        <v>13</v>
      </c>
      <c r="D47" s="7">
        <v>5</v>
      </c>
      <c r="E47" s="7" t="s">
        <v>51</v>
      </c>
      <c r="F47" s="8" t="str">
        <f t="shared" si="1"/>
        <v>revisar</v>
      </c>
      <c r="G47" s="7">
        <v>4</v>
      </c>
      <c r="H47" s="14"/>
      <c r="I47" t="s">
        <v>180</v>
      </c>
      <c r="J47" s="7">
        <v>1</v>
      </c>
      <c r="K47" s="7">
        <v>1</v>
      </c>
      <c r="L47" s="7">
        <v>0</v>
      </c>
      <c r="M47" s="7">
        <v>0</v>
      </c>
      <c r="N47" s="7">
        <v>1</v>
      </c>
      <c r="O47" s="7">
        <v>0</v>
      </c>
      <c r="P47" s="7">
        <v>1</v>
      </c>
    </row>
    <row r="48" spans="1:16" x14ac:dyDescent="0.35">
      <c r="A48" s="6" t="s">
        <v>147</v>
      </c>
      <c r="B48" s="7" t="s">
        <v>92</v>
      </c>
      <c r="C48" s="7" t="s">
        <v>15</v>
      </c>
      <c r="D48" s="7"/>
      <c r="E48" s="7" t="s">
        <v>53</v>
      </c>
      <c r="F48" s="8" t="str">
        <f t="shared" si="1"/>
        <v>revisar</v>
      </c>
      <c r="G48" s="7">
        <v>3</v>
      </c>
      <c r="H48" s="14"/>
      <c r="I48" t="s">
        <v>177</v>
      </c>
      <c r="J48" s="7">
        <v>1</v>
      </c>
      <c r="K48" s="7">
        <v>1</v>
      </c>
      <c r="L48" s="7">
        <v>0</v>
      </c>
      <c r="M48" s="7">
        <v>0</v>
      </c>
      <c r="N48" s="7">
        <v>1</v>
      </c>
      <c r="O48" s="7">
        <v>0</v>
      </c>
      <c r="P48" s="7">
        <v>0</v>
      </c>
    </row>
    <row r="49" spans="1:16" x14ac:dyDescent="0.35">
      <c r="A49" s="6" t="s">
        <v>147</v>
      </c>
      <c r="B49" s="7" t="s">
        <v>98</v>
      </c>
      <c r="C49" s="7" t="s">
        <v>9</v>
      </c>
      <c r="D49" s="7"/>
      <c r="E49" s="7" t="s">
        <v>47</v>
      </c>
      <c r="F49" s="8" t="str">
        <f t="shared" si="1"/>
        <v>mantener</v>
      </c>
      <c r="G49" s="7">
        <v>2</v>
      </c>
      <c r="H49" s="14"/>
      <c r="I49" t="s">
        <v>177</v>
      </c>
      <c r="J49" s="7">
        <v>1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</row>
    <row r="50" spans="1:16" x14ac:dyDescent="0.35">
      <c r="A50" s="6" t="s">
        <v>147</v>
      </c>
      <c r="B50" s="7" t="s">
        <v>97</v>
      </c>
      <c r="C50" s="7" t="s">
        <v>38</v>
      </c>
      <c r="D50" s="7"/>
      <c r="E50" s="7" t="s">
        <v>75</v>
      </c>
      <c r="F50" s="8" t="str">
        <f t="shared" si="1"/>
        <v>mantener</v>
      </c>
      <c r="G50" s="7">
        <v>2</v>
      </c>
      <c r="H50" s="14"/>
      <c r="I50" t="s">
        <v>179</v>
      </c>
      <c r="J50" s="7">
        <v>0</v>
      </c>
      <c r="K50" s="7">
        <v>0</v>
      </c>
      <c r="L50" s="7">
        <v>1</v>
      </c>
      <c r="M50" s="7">
        <v>0</v>
      </c>
      <c r="N50" s="7">
        <v>0</v>
      </c>
      <c r="O50" s="7">
        <v>1</v>
      </c>
      <c r="P50" s="7">
        <v>0</v>
      </c>
    </row>
    <row r="51" spans="1:16" x14ac:dyDescent="0.35">
      <c r="A51" s="6" t="s">
        <v>147</v>
      </c>
      <c r="B51" s="7" t="s">
        <v>82</v>
      </c>
      <c r="C51" s="7" t="s">
        <v>12</v>
      </c>
      <c r="D51" s="7"/>
      <c r="E51" s="7" t="s">
        <v>50</v>
      </c>
      <c r="F51" s="8" t="str">
        <f t="shared" si="1"/>
        <v>mantener</v>
      </c>
      <c r="G51" s="7">
        <v>2</v>
      </c>
      <c r="H51" s="14"/>
      <c r="I51" t="s">
        <v>179</v>
      </c>
      <c r="J51" s="7">
        <v>1</v>
      </c>
      <c r="K51" s="7">
        <v>0</v>
      </c>
      <c r="L51" s="7">
        <v>0</v>
      </c>
      <c r="M51" s="7">
        <v>0</v>
      </c>
      <c r="N51" s="7">
        <v>1</v>
      </c>
      <c r="O51" s="7">
        <v>0</v>
      </c>
      <c r="P51" s="7">
        <v>0</v>
      </c>
    </row>
    <row r="52" spans="1:16" x14ac:dyDescent="0.35">
      <c r="A52" s="6" t="s">
        <v>147</v>
      </c>
      <c r="B52" s="7" t="s">
        <v>90</v>
      </c>
      <c r="C52" s="7" t="s">
        <v>115</v>
      </c>
      <c r="D52" s="7"/>
      <c r="E52" s="7" t="s">
        <v>116</v>
      </c>
      <c r="F52" s="8" t="str">
        <f t="shared" si="1"/>
        <v>mantener</v>
      </c>
      <c r="G52" s="7">
        <v>1</v>
      </c>
      <c r="H52" s="14"/>
      <c r="I52" t="s">
        <v>182</v>
      </c>
      <c r="J52" s="7">
        <v>0</v>
      </c>
      <c r="K52" s="7">
        <v>0</v>
      </c>
      <c r="L52" s="7">
        <v>1</v>
      </c>
      <c r="M52" s="7">
        <v>0</v>
      </c>
      <c r="N52" s="7">
        <v>0</v>
      </c>
      <c r="O52" s="7">
        <v>0</v>
      </c>
      <c r="P52" s="7">
        <v>0</v>
      </c>
    </row>
    <row r="53" spans="1:16" x14ac:dyDescent="0.35">
      <c r="A53" s="6" t="s">
        <v>147</v>
      </c>
      <c r="B53" s="7" t="s">
        <v>92</v>
      </c>
      <c r="C53" s="7" t="s">
        <v>16</v>
      </c>
      <c r="D53" s="7"/>
      <c r="E53" s="7" t="s">
        <v>54</v>
      </c>
      <c r="F53" s="8" t="str">
        <f t="shared" si="1"/>
        <v>mantener</v>
      </c>
      <c r="G53" s="7">
        <v>1</v>
      </c>
      <c r="H53" s="14"/>
      <c r="I53" t="s">
        <v>179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1</v>
      </c>
      <c r="P53" s="7">
        <v>0</v>
      </c>
    </row>
    <row r="54" spans="1:16" x14ac:dyDescent="0.35">
      <c r="A54" s="6" t="s">
        <v>147</v>
      </c>
      <c r="B54" s="7" t="s">
        <v>88</v>
      </c>
      <c r="C54" s="7" t="s">
        <v>11</v>
      </c>
      <c r="D54" s="7"/>
      <c r="E54" s="7" t="s">
        <v>49</v>
      </c>
      <c r="F54" s="8" t="str">
        <f t="shared" si="1"/>
        <v>mantener</v>
      </c>
      <c r="G54" s="7">
        <v>1</v>
      </c>
      <c r="H54" s="14"/>
      <c r="I54" t="s">
        <v>179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x14ac:dyDescent="0.35">
      <c r="A55" s="6" t="s">
        <v>147</v>
      </c>
      <c r="B55" s="7" t="s">
        <v>92</v>
      </c>
      <c r="C55" s="7" t="s">
        <v>36</v>
      </c>
      <c r="D55" s="7"/>
      <c r="E55" s="7" t="s">
        <v>73</v>
      </c>
      <c r="F55" s="8" t="str">
        <f t="shared" si="1"/>
        <v>mantener</v>
      </c>
      <c r="G55" s="7">
        <v>0</v>
      </c>
      <c r="H55" s="14"/>
      <c r="I55" t="s">
        <v>179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</row>
    <row r="56" spans="1:16" x14ac:dyDescent="0.35">
      <c r="A56" s="6" t="s">
        <v>147</v>
      </c>
      <c r="B56" s="7" t="s">
        <v>100</v>
      </c>
      <c r="C56" s="7" t="s">
        <v>35</v>
      </c>
      <c r="D56" s="7"/>
      <c r="E56" s="7" t="s">
        <v>72</v>
      </c>
      <c r="F56" s="8" t="str">
        <f t="shared" si="1"/>
        <v>mantener</v>
      </c>
      <c r="G56" s="7">
        <v>0</v>
      </c>
      <c r="H56" s="14"/>
      <c r="I56" t="s">
        <v>179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x14ac:dyDescent="0.35">
      <c r="A57" s="6" t="s">
        <v>147</v>
      </c>
      <c r="B57" s="7" t="s">
        <v>88</v>
      </c>
      <c r="C57" s="7" t="s">
        <v>2</v>
      </c>
      <c r="D57" s="7"/>
      <c r="E57" s="7" t="s">
        <v>3</v>
      </c>
      <c r="F57" s="8" t="str">
        <f t="shared" si="1"/>
        <v>mantener</v>
      </c>
      <c r="G57" s="7">
        <v>0</v>
      </c>
      <c r="H57" s="14"/>
      <c r="I57" t="s">
        <v>179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</row>
    <row r="58" spans="1:16" x14ac:dyDescent="0.35">
      <c r="A58" s="6" t="s">
        <v>173</v>
      </c>
      <c r="B58" s="7" t="s">
        <v>95</v>
      </c>
      <c r="C58" s="7" t="s">
        <v>25</v>
      </c>
      <c r="D58" s="7"/>
      <c r="E58" s="7" t="s">
        <v>61</v>
      </c>
      <c r="F58" s="8" t="str">
        <f t="shared" si="1"/>
        <v>revisar</v>
      </c>
      <c r="G58" s="7">
        <v>3</v>
      </c>
      <c r="H58" s="14"/>
      <c r="I58" t="s">
        <v>176</v>
      </c>
      <c r="J58" s="7">
        <v>2</v>
      </c>
      <c r="K58" s="7">
        <v>0</v>
      </c>
      <c r="L58" s="7">
        <v>0</v>
      </c>
      <c r="M58" s="7">
        <v>0</v>
      </c>
      <c r="N58" s="7">
        <v>1</v>
      </c>
      <c r="O58" s="7">
        <v>0</v>
      </c>
      <c r="P58" s="7">
        <v>0</v>
      </c>
    </row>
    <row r="59" spans="1:16" x14ac:dyDescent="0.35">
      <c r="A59" s="6" t="s">
        <v>173</v>
      </c>
      <c r="B59" s="7" t="s">
        <v>95</v>
      </c>
      <c r="C59" s="7" t="s">
        <v>27</v>
      </c>
      <c r="D59" s="7">
        <v>6</v>
      </c>
      <c r="E59" s="7" t="s">
        <v>63</v>
      </c>
      <c r="F59" s="8" t="str">
        <f t="shared" si="1"/>
        <v>mantener</v>
      </c>
      <c r="G59" s="7">
        <v>1</v>
      </c>
      <c r="H59" s="14"/>
      <c r="I59" t="s">
        <v>176</v>
      </c>
      <c r="J59" s="7">
        <v>0</v>
      </c>
      <c r="K59" s="7">
        <v>0</v>
      </c>
      <c r="L59" s="7">
        <v>1</v>
      </c>
      <c r="M59" s="7">
        <v>0</v>
      </c>
      <c r="N59" s="7">
        <v>0</v>
      </c>
      <c r="O59" s="7">
        <v>0</v>
      </c>
      <c r="P59" s="7">
        <v>0</v>
      </c>
    </row>
    <row r="60" spans="1:16" x14ac:dyDescent="0.35">
      <c r="A60" s="6" t="s">
        <v>173</v>
      </c>
      <c r="B60" s="7" t="s">
        <v>106</v>
      </c>
      <c r="C60" s="7" t="s">
        <v>155</v>
      </c>
      <c r="D60" s="7"/>
      <c r="E60" s="7" t="s">
        <v>155</v>
      </c>
      <c r="F60" s="8" t="str">
        <f t="shared" si="1"/>
        <v>mantener</v>
      </c>
      <c r="G60" s="7">
        <v>0</v>
      </c>
      <c r="H60" s="14"/>
      <c r="I60" t="s">
        <v>179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x14ac:dyDescent="0.35">
      <c r="A61" s="6" t="s">
        <v>173</v>
      </c>
      <c r="B61" s="7" t="s">
        <v>111</v>
      </c>
      <c r="C61" s="7" t="s">
        <v>155</v>
      </c>
      <c r="D61" s="7"/>
      <c r="E61" s="7" t="s">
        <v>155</v>
      </c>
      <c r="F61" s="8" t="str">
        <f t="shared" si="1"/>
        <v>mantener</v>
      </c>
      <c r="G61" s="7">
        <v>0</v>
      </c>
      <c r="H61" s="14"/>
      <c r="I61" t="s">
        <v>179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</row>
    <row r="62" spans="1:16" x14ac:dyDescent="0.35">
      <c r="A62" s="6" t="s">
        <v>172</v>
      </c>
      <c r="B62" s="7" t="s">
        <v>99</v>
      </c>
      <c r="C62" s="7" t="s">
        <v>40</v>
      </c>
      <c r="D62" s="7">
        <v>3</v>
      </c>
      <c r="E62" s="7" t="s">
        <v>77</v>
      </c>
      <c r="F62" s="8" t="str">
        <f t="shared" si="1"/>
        <v>optimizar</v>
      </c>
      <c r="G62" s="7">
        <v>18</v>
      </c>
      <c r="H62" s="14"/>
      <c r="I62" t="s">
        <v>175</v>
      </c>
      <c r="J62" s="7">
        <v>3</v>
      </c>
      <c r="K62" s="7">
        <v>6</v>
      </c>
      <c r="L62" s="7">
        <v>3</v>
      </c>
      <c r="M62" s="7">
        <v>0</v>
      </c>
      <c r="N62" s="7">
        <v>2</v>
      </c>
      <c r="O62" s="7">
        <v>0</v>
      </c>
      <c r="P62" s="7">
        <v>4</v>
      </c>
    </row>
    <row r="63" spans="1:16" x14ac:dyDescent="0.35">
      <c r="A63" s="6" t="s">
        <v>172</v>
      </c>
      <c r="B63" s="7" t="s">
        <v>103</v>
      </c>
      <c r="C63" s="7" t="s">
        <v>41</v>
      </c>
      <c r="D63" s="7"/>
      <c r="E63" s="7" t="s">
        <v>78</v>
      </c>
      <c r="F63" s="8" t="str">
        <f t="shared" si="1"/>
        <v>optimizar</v>
      </c>
      <c r="G63" s="7">
        <v>12</v>
      </c>
      <c r="H63" s="14"/>
      <c r="I63" t="s">
        <v>175</v>
      </c>
      <c r="J63" s="7">
        <v>3</v>
      </c>
      <c r="K63" s="7">
        <v>4</v>
      </c>
      <c r="L63" s="7">
        <v>0</v>
      </c>
      <c r="M63" s="7">
        <v>1</v>
      </c>
      <c r="N63" s="7">
        <v>3</v>
      </c>
      <c r="O63" s="7">
        <v>0</v>
      </c>
      <c r="P63" s="7">
        <v>1</v>
      </c>
    </row>
    <row r="64" spans="1:16" x14ac:dyDescent="0.35">
      <c r="A64" s="6" t="s">
        <v>172</v>
      </c>
      <c r="B64" s="7" t="s">
        <v>138</v>
      </c>
      <c r="C64" s="7" t="s">
        <v>39</v>
      </c>
      <c r="D64" s="7">
        <v>4</v>
      </c>
      <c r="E64" s="7" t="s">
        <v>76</v>
      </c>
      <c r="F64" s="8" t="s">
        <v>174</v>
      </c>
      <c r="G64" s="7">
        <v>6</v>
      </c>
      <c r="H64" s="14"/>
      <c r="I64" t="s">
        <v>183</v>
      </c>
      <c r="J64" s="7">
        <v>2</v>
      </c>
      <c r="K64" s="7">
        <v>2</v>
      </c>
      <c r="L64" s="7">
        <v>1</v>
      </c>
      <c r="M64" s="7">
        <v>0</v>
      </c>
      <c r="N64" s="7">
        <v>0</v>
      </c>
      <c r="O64" s="7">
        <v>0</v>
      </c>
      <c r="P64" s="7">
        <v>1</v>
      </c>
    </row>
    <row r="65" spans="1:16" x14ac:dyDescent="0.35">
      <c r="A65" s="6" t="s">
        <v>172</v>
      </c>
      <c r="B65" s="7" t="s">
        <v>99</v>
      </c>
      <c r="C65" s="7" t="s">
        <v>42</v>
      </c>
      <c r="D65" s="7"/>
      <c r="E65" s="7" t="s">
        <v>79</v>
      </c>
      <c r="F65" s="8" t="str">
        <f t="shared" ref="F65:F71" si="2">IF(G65&lt;=2,"mantener",IF(G65&lt;=9,"revisar","optimizar"))</f>
        <v>revisar</v>
      </c>
      <c r="G65" s="7">
        <v>5</v>
      </c>
      <c r="H65" s="14"/>
      <c r="I65" t="s">
        <v>179</v>
      </c>
      <c r="J65" s="7">
        <v>0</v>
      </c>
      <c r="K65" s="7">
        <v>0</v>
      </c>
      <c r="L65" s="7">
        <v>1</v>
      </c>
      <c r="M65" s="7">
        <v>1</v>
      </c>
      <c r="N65" s="7">
        <v>0</v>
      </c>
      <c r="O65" s="7">
        <v>3</v>
      </c>
      <c r="P65" s="7">
        <v>0</v>
      </c>
    </row>
    <row r="66" spans="1:16" x14ac:dyDescent="0.35">
      <c r="A66" s="6" t="s">
        <v>150</v>
      </c>
      <c r="B66" s="7" t="s">
        <v>151</v>
      </c>
      <c r="C66" s="7" t="s">
        <v>21</v>
      </c>
      <c r="D66" s="7">
        <v>8</v>
      </c>
      <c r="E66" s="7" t="s">
        <v>57</v>
      </c>
      <c r="F66" s="8" t="str">
        <f t="shared" si="2"/>
        <v>revisar</v>
      </c>
      <c r="G66" s="7">
        <v>4</v>
      </c>
      <c r="H66" s="14"/>
      <c r="I66" t="s">
        <v>178</v>
      </c>
      <c r="J66" s="7">
        <v>0</v>
      </c>
      <c r="K66" s="7">
        <v>1</v>
      </c>
      <c r="L66" s="7">
        <v>2</v>
      </c>
      <c r="M66" s="7">
        <v>0</v>
      </c>
      <c r="N66" s="7">
        <v>1</v>
      </c>
      <c r="O66" s="7">
        <v>0</v>
      </c>
      <c r="P66" s="7">
        <v>0</v>
      </c>
    </row>
    <row r="67" spans="1:16" x14ac:dyDescent="0.35">
      <c r="A67" s="6" t="s">
        <v>150</v>
      </c>
      <c r="B67" s="7" t="s">
        <v>151</v>
      </c>
      <c r="C67" s="7" t="s">
        <v>24</v>
      </c>
      <c r="D67" s="7">
        <v>7</v>
      </c>
      <c r="E67" s="7" t="s">
        <v>60</v>
      </c>
      <c r="F67" s="8" t="str">
        <f t="shared" si="2"/>
        <v>revisar</v>
      </c>
      <c r="G67" s="7">
        <v>4</v>
      </c>
      <c r="H67" s="14"/>
      <c r="I67" t="s">
        <v>178</v>
      </c>
      <c r="J67" s="7">
        <v>1</v>
      </c>
      <c r="K67" s="7">
        <v>0</v>
      </c>
      <c r="L67" s="7">
        <v>2</v>
      </c>
      <c r="M67" s="7">
        <v>0</v>
      </c>
      <c r="N67" s="7">
        <v>1</v>
      </c>
      <c r="O67" s="7">
        <v>0</v>
      </c>
      <c r="P67" s="7">
        <v>0</v>
      </c>
    </row>
    <row r="68" spans="1:16" x14ac:dyDescent="0.35">
      <c r="A68" s="6" t="s">
        <v>152</v>
      </c>
      <c r="B68" s="7" t="s">
        <v>153</v>
      </c>
      <c r="C68" s="7" t="s">
        <v>19</v>
      </c>
      <c r="D68" s="7">
        <v>9</v>
      </c>
      <c r="E68" s="7" t="s">
        <v>20</v>
      </c>
      <c r="F68" s="8" t="str">
        <f t="shared" si="2"/>
        <v>mantener</v>
      </c>
      <c r="G68" s="7">
        <v>1</v>
      </c>
      <c r="H68" s="14"/>
      <c r="I68" t="s">
        <v>181</v>
      </c>
      <c r="J68" s="7">
        <v>0</v>
      </c>
      <c r="K68" s="7">
        <v>0</v>
      </c>
      <c r="L68" s="7">
        <v>0</v>
      </c>
      <c r="M68" s="7">
        <v>0</v>
      </c>
      <c r="N68" s="7">
        <v>1</v>
      </c>
      <c r="O68" s="7">
        <v>0</v>
      </c>
      <c r="P68" s="7">
        <v>0</v>
      </c>
    </row>
    <row r="69" spans="1:16" x14ac:dyDescent="0.35">
      <c r="A69" s="6" t="s">
        <v>149</v>
      </c>
      <c r="B69" s="7" t="s">
        <v>87</v>
      </c>
      <c r="C69" s="7" t="s">
        <v>105</v>
      </c>
      <c r="D69" s="7"/>
      <c r="E69" s="7" t="s">
        <v>67</v>
      </c>
      <c r="F69" s="8" t="str">
        <f t="shared" si="2"/>
        <v>mantener</v>
      </c>
      <c r="G69" s="7">
        <v>2</v>
      </c>
      <c r="H69" s="14"/>
      <c r="I69" t="s">
        <v>186</v>
      </c>
      <c r="J69" s="7">
        <v>0</v>
      </c>
      <c r="K69" s="7">
        <v>0</v>
      </c>
      <c r="L69" s="7">
        <v>2</v>
      </c>
      <c r="M69" s="7">
        <v>0</v>
      </c>
      <c r="N69" s="7">
        <v>0</v>
      </c>
      <c r="O69" s="7">
        <v>0</v>
      </c>
      <c r="P69" s="7">
        <v>0</v>
      </c>
    </row>
    <row r="70" spans="1:16" x14ac:dyDescent="0.35">
      <c r="A70" s="6" t="s">
        <v>149</v>
      </c>
      <c r="B70" s="7" t="s">
        <v>93</v>
      </c>
      <c r="C70" s="7" t="s">
        <v>18</v>
      </c>
      <c r="D70" s="7"/>
      <c r="E70" s="7" t="s">
        <v>56</v>
      </c>
      <c r="F70" s="8" t="str">
        <f t="shared" si="2"/>
        <v>mantener</v>
      </c>
      <c r="G70" s="7">
        <v>0</v>
      </c>
      <c r="H70" s="14"/>
      <c r="I70" t="s">
        <v>187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</row>
    <row r="71" spans="1:16" x14ac:dyDescent="0.35">
      <c r="A71" s="9" t="s">
        <v>149</v>
      </c>
      <c r="B71" s="10" t="s">
        <v>112</v>
      </c>
      <c r="C71" s="10" t="s">
        <v>155</v>
      </c>
      <c r="D71" s="10"/>
      <c r="E71" s="10" t="s">
        <v>155</v>
      </c>
      <c r="F71" s="11" t="str">
        <f t="shared" si="2"/>
        <v>mantener</v>
      </c>
      <c r="G71" s="7">
        <v>0</v>
      </c>
      <c r="H71" s="14"/>
      <c r="I71" t="s">
        <v>179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</row>
  </sheetData>
  <autoFilter ref="A1:P71" xr:uid="{71C728C5-DBE7-4EFC-B7B8-A92C19EC3AE1}"/>
  <conditionalFormatting sqref="J2:P1048576">
    <cfRule type="cellIs" dxfId="0" priority="1" operator="greaterThan">
      <formula>1</formula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918E09-B473-42F4-A326-001B27986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tabla_dinamica</vt:lpstr>
      <vt:lpstr>Tabla2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2025-08-08T18:27:24Z</dcterms:created>
  <dcterms:modified xsi:type="dcterms:W3CDTF">2026-01-17T23:43:17Z</dcterms:modified>
</cp:coreProperties>
</file>